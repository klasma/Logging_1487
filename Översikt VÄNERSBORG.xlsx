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46323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46323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46323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46323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46323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46323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46323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48163-2024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45589</v>
      </c>
      <c r="E10" s="1" t="n">
        <v>46323</v>
      </c>
      <c r="F10" t="inlineStr">
        <is>
          <t>VÄSTRA GÖTALANDS LÄN</t>
        </is>
      </c>
      <c r="G10" t="inlineStr">
        <is>
          <t>VÄNERSBORG</t>
        </is>
      </c>
      <c r="I10" t="n">
        <v>14.4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Sångsvan</t>
        </is>
      </c>
      <c r="W10">
        <f>HYPERLINK("https://klasma.github.io/Logging_1487/artfynd/A 48163-2024 artfynd.xlsx", "A 48163-2024")</f>
        <v/>
      </c>
      <c r="X10">
        <f>HYPERLINK("https://klasma.github.io/Logging_1487/kartor/A 48163-2024 karta.png", "A 48163-2024")</f>
        <v/>
      </c>
      <c r="Y10">
        <f>HYPERLINK("https://klasma.github.io/Logging_1487/kartor_geotiff/A 48163-2024 georefererad karta.tif", "A 48163-2024")</f>
        <v/>
      </c>
      <c r="AA10">
        <f>HYPERLINK("https://klasma.github.io/Logging_1487/klagomål/A 48163-2024 FSC-klagomål.docx", "A 48163-2024")</f>
        <v/>
      </c>
      <c r="AB10">
        <f>HYPERLINK("https://klasma.github.io/Logging_1487/klagomålsmail/A 48163-2024 FSC-klagomål mail.docx", "A 48163-2024")</f>
        <v/>
      </c>
      <c r="AC10">
        <f>HYPERLINK("https://klasma.github.io/Logging_1487/tillsyn/A 48163-2024 tillsynsbegäran.docx", "A 48163-2024")</f>
        <v/>
      </c>
      <c r="AD10">
        <f>HYPERLINK("https://klasma.github.io/Logging_1487/tillsynsmail/A 48163-2024 tillsynsbegäran mail.docx", "A 48163-2024")</f>
        <v/>
      </c>
      <c r="AE10">
        <f>HYPERLINK("https://klasma.github.io/Logging_1487/fåglar/A 48163-2024 prioriterade fågelarter.docx", "A 48163-2024")</f>
        <v/>
      </c>
    </row>
    <row r="11" ht="15" customHeight="1">
      <c r="A11" t="inlineStr">
        <is>
          <t>A 29376-2022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46323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8.300000000000001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Revlummer</t>
        </is>
      </c>
      <c r="W11">
        <f>HYPERLINK("https://klasma.github.io/Logging_1487/artfynd/A 29376-2022 artfynd.xlsx", "A 29376-2022")</f>
        <v/>
      </c>
      <c r="X11">
        <f>HYPERLINK("https://klasma.github.io/Logging_1487/kartor/A 29376-2022 karta.png", "A 29376-2022")</f>
        <v/>
      </c>
      <c r="Y11">
        <f>HYPERLINK("https://klasma.github.io/Logging_1487/kartor_geotiff/A 29376-2022 georefererad karta.tif", "A 29376-2022")</f>
        <v/>
      </c>
      <c r="AA11">
        <f>HYPERLINK("https://klasma.github.io/Logging_1487/klagomål/A 29376-2022 FSC-klagomål.docx", "A 29376-2022")</f>
        <v/>
      </c>
      <c r="AB11">
        <f>HYPERLINK("https://klasma.github.io/Logging_1487/klagomålsmail/A 29376-2022 FSC-klagomål mail.docx", "A 29376-2022")</f>
        <v/>
      </c>
      <c r="AC11">
        <f>HYPERLINK("https://klasma.github.io/Logging_1487/tillsyn/A 29376-2022 tillsynsbegäran.docx", "A 29376-2022")</f>
        <v/>
      </c>
      <c r="AD11">
        <f>HYPERLINK("https://klasma.github.io/Logging_1487/tillsynsmail/A 29376-2022 tillsynsbegäran mail.docx", "A 29376-2022")</f>
        <v/>
      </c>
    </row>
    <row r="12" ht="15" customHeight="1">
      <c r="A12" t="inlineStr">
        <is>
          <t>A 5009-2025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45691</v>
      </c>
      <c r="E12" s="1" t="n">
        <v>46323</v>
      </c>
      <c r="F12" t="inlineStr">
        <is>
          <t>VÄSTRA GÖTALANDS LÄN</t>
        </is>
      </c>
      <c r="G12" t="inlineStr">
        <is>
          <t>VÄNERSBORG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Ljungpipare</t>
        </is>
      </c>
      <c r="W12">
        <f>HYPERLINK("https://klasma.github.io/Logging_1487/artfynd/A 5009-2025 artfynd.xlsx", "A 5009-2025")</f>
        <v/>
      </c>
      <c r="X12">
        <f>HYPERLINK("https://klasma.github.io/Logging_1487/kartor/A 5009-2025 karta.png", "A 5009-2025")</f>
        <v/>
      </c>
      <c r="Y12">
        <f>HYPERLINK("https://klasma.github.io/Logging_1487/kartor_geotiff/A 5009-2025 georefererad karta.tif", "A 5009-2025")</f>
        <v/>
      </c>
      <c r="AA12">
        <f>HYPERLINK("https://klasma.github.io/Logging_1487/klagomål/A 5009-2025 FSC-klagomål.docx", "A 5009-2025")</f>
        <v/>
      </c>
      <c r="AB12">
        <f>HYPERLINK("https://klasma.github.io/Logging_1487/klagomålsmail/A 5009-2025 FSC-klagomål mail.docx", "A 5009-2025")</f>
        <v/>
      </c>
      <c r="AC12">
        <f>HYPERLINK("https://klasma.github.io/Logging_1487/tillsyn/A 5009-2025 tillsynsbegäran.docx", "A 5009-2025")</f>
        <v/>
      </c>
      <c r="AD12">
        <f>HYPERLINK("https://klasma.github.io/Logging_1487/tillsynsmail/A 5009-2025 tillsynsbegäran mail.docx", "A 5009-2025")</f>
        <v/>
      </c>
      <c r="AE12">
        <f>HYPERLINK("https://klasma.github.io/Logging_1487/fåglar/A 5009-2025 prioriterade fågelarter.docx", "A 5009-2025")</f>
        <v/>
      </c>
    </row>
    <row r="13" ht="15" customHeight="1">
      <c r="A13" t="inlineStr">
        <is>
          <t>A 17920-2023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45040</v>
      </c>
      <c r="E13" s="1" t="n">
        <v>46323</v>
      </c>
      <c r="F13" t="inlineStr">
        <is>
          <t>VÄSTRA GÖTALANDS LÄN</t>
        </is>
      </c>
      <c r="G13" t="inlineStr">
        <is>
          <t>VÄNERSBORG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HYPERLINK("https://klasma.github.io/Logging_1487/artfynd/A 17920-2023 artfynd.xlsx", "A 17920-2023")</f>
        <v/>
      </c>
      <c r="X13">
        <f>HYPERLINK("https://klasma.github.io/Logging_1487/kartor/A 17920-2023 karta.png", "A 17920-2023")</f>
        <v/>
      </c>
      <c r="Y13">
        <f>HYPERLINK("https://klasma.github.io/Logging_1487/kartor_geotiff/A 17920-2023 georefererad karta.tif", "A 17920-2023")</f>
        <v/>
      </c>
      <c r="AA13">
        <f>HYPERLINK("https://klasma.github.io/Logging_1487/klagomål/A 17920-2023 FSC-klagomål.docx", "A 17920-2023")</f>
        <v/>
      </c>
      <c r="AB13">
        <f>HYPERLINK("https://klasma.github.io/Logging_1487/klagomålsmail/A 17920-2023 FSC-klagomål mail.docx", "A 17920-2023")</f>
        <v/>
      </c>
      <c r="AC13">
        <f>HYPERLINK("https://klasma.github.io/Logging_1487/tillsyn/A 17920-2023 tillsynsbegäran.docx", "A 17920-2023")</f>
        <v/>
      </c>
      <c r="AD13">
        <f>HYPERLINK("https://klasma.github.io/Logging_1487/tillsynsmail/A 17920-2023 tillsynsbegäran mail.docx", "A 17920-2023")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46323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46323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46323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25575-2025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46323</v>
      </c>
      <c r="F17" t="inlineStr">
        <is>
          <t>VÄSTRA GÖTALANDS LÄN</t>
        </is>
      </c>
      <c r="G17" t="inlineStr">
        <is>
          <t>VÄNERSBORG</t>
        </is>
      </c>
      <c r="H17" t="inlineStr">
        <is>
          <t>Sveaskog</t>
        </is>
      </c>
      <c r="I17" t="n">
        <v>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Blåmossa</t>
        </is>
      </c>
      <c r="W17">
        <f>HYPERLINK("https://klasma.github.io/Logging_1487/artfynd/A 25575-2025 artfynd.xlsx", "A 25575-2025")</f>
        <v/>
      </c>
      <c r="X17">
        <f>HYPERLINK("https://klasma.github.io/Logging_1487/kartor/A 25575-2025 karta.png", "A 25575-2025")</f>
        <v/>
      </c>
      <c r="Y17">
        <f>HYPERLINK("https://klasma.github.io/Logging_1487/kartor_geotiff/A 25575-2025 georefererad karta.tif", "A 25575-2025")</f>
        <v/>
      </c>
      <c r="AA17">
        <f>HYPERLINK("https://klasma.github.io/Logging_1487/klagomål/A 25575-2025 FSC-klagomål.docx", "A 25575-2025")</f>
        <v/>
      </c>
      <c r="AB17">
        <f>HYPERLINK("https://klasma.github.io/Logging_1487/klagomålsmail/A 25575-2025 FSC-klagomål mail.docx", "A 25575-2025")</f>
        <v/>
      </c>
      <c r="AC17">
        <f>HYPERLINK("https://klasma.github.io/Logging_1487/tillsyn/A 25575-2025 tillsynsbegäran.docx", "A 25575-2025")</f>
        <v/>
      </c>
      <c r="AD17">
        <f>HYPERLINK("https://klasma.github.io/Logging_1487/tillsynsmail/A 25575-2025 tillsynsbegäran mail.docx", "A 25575-2025")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46323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55617-2023 artfynd.xlsx", "A 55617-2023")</f>
        <v/>
      </c>
      <c r="X18">
        <f>HYPERLINK("https://klasma.github.io/Logging_1487/kartor/A 55617-2023 karta.png", "A 55617-2023")</f>
        <v/>
      </c>
      <c r="Y18">
        <f>HYPERLINK("https://klasma.github.io/Logging_1487/kartor_geotiff/A 55617-2023 georefererad karta.tif", "A 55617-2023")</f>
        <v/>
      </c>
      <c r="AA18">
        <f>HYPERLINK("https://klasma.github.io/Logging_1487/klagomål/A 55617-2023 FSC-klagomål.docx", "A 55617-2023")</f>
        <v/>
      </c>
      <c r="AB18">
        <f>HYPERLINK("https://klasma.github.io/Logging_1487/klagomålsmail/A 55617-2023 FSC-klagomål mail.docx", "A 55617-2023")</f>
        <v/>
      </c>
      <c r="AC18">
        <f>HYPERLINK("https://klasma.github.io/Logging_1487/tillsyn/A 55617-2023 tillsynsbegäran.docx", "A 55617-2023")</f>
        <v/>
      </c>
      <c r="AD18">
        <f>HYPERLINK("https://klasma.github.io/Logging_1487/tillsynsmail/A 55617-2023 tillsynsbegäran mail.docx", "A 55617-2023")</f>
        <v/>
      </c>
    </row>
    <row r="19" ht="15" customHeight="1">
      <c r="A19" t="inlineStr">
        <is>
          <t>A 18733-2026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46128</v>
      </c>
      <c r="E19" s="1" t="n">
        <v>46323</v>
      </c>
      <c r="F19" t="inlineStr">
        <is>
          <t>VÄSTRA GÖTALANDS LÄN</t>
        </is>
      </c>
      <c r="G19" t="inlineStr">
        <is>
          <t>VÄNERSBORG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HYPERLINK("https://klasma.github.io/Logging_1487/artfynd/A 18733-2026 artfynd.xlsx", "A 18733-2026")</f>
        <v/>
      </c>
      <c r="X19">
        <f>HYPERLINK("https://klasma.github.io/Logging_1487/kartor/A 18733-2026 karta.png", "A 18733-2026")</f>
        <v/>
      </c>
      <c r="Y19">
        <f>HYPERLINK("https://klasma.github.io/Logging_1487/kartor_geotiff/A 18733-2026 georefererad karta.tif", "A 18733-2026")</f>
        <v/>
      </c>
      <c r="AA19">
        <f>HYPERLINK("https://klasma.github.io/Logging_1487/klagomål/A 18733-2026 FSC-klagomål.docx", "A 18733-2026")</f>
        <v/>
      </c>
      <c r="AB19">
        <f>HYPERLINK("https://klasma.github.io/Logging_1487/klagomålsmail/A 18733-2026 FSC-klagomål mail.docx", "A 18733-2026")</f>
        <v/>
      </c>
      <c r="AC19">
        <f>HYPERLINK("https://klasma.github.io/Logging_1487/tillsyn/A 18733-2026 tillsynsbegäran.docx", "A 18733-2026")</f>
        <v/>
      </c>
      <c r="AD19">
        <f>HYPERLINK("https://klasma.github.io/Logging_1487/tillsynsmail/A 18733-2026 tillsynsbegäran mail.docx", "A 18733-2026")</f>
        <v/>
      </c>
    </row>
    <row r="20" ht="15" customHeight="1">
      <c r="A20" t="inlineStr">
        <is>
          <t>A 10515-2025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45721</v>
      </c>
      <c r="E20" s="1" t="n">
        <v>46323</v>
      </c>
      <c r="F20" t="inlineStr">
        <is>
          <t>VÄSTRA GÖTALANDS LÄN</t>
        </is>
      </c>
      <c r="G20" t="inlineStr">
        <is>
          <t>VÄNERSBORG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HYPERLINK("https://klasma.github.io/Logging_1487/artfynd/A 10515-2025 artfynd.xlsx", "A 10515-2025")</f>
        <v/>
      </c>
      <c r="X20">
        <f>HYPERLINK("https://klasma.github.io/Logging_1487/kartor/A 10515-2025 karta.png", "A 10515-2025")</f>
        <v/>
      </c>
      <c r="Y20">
        <f>HYPERLINK("https://klasma.github.io/Logging_1487/kartor_geotiff/A 10515-2025 georefererad karta.tif", "A 10515-2025")</f>
        <v/>
      </c>
      <c r="AA20">
        <f>HYPERLINK("https://klasma.github.io/Logging_1487/klagomål/A 10515-2025 FSC-klagomål.docx", "A 10515-2025")</f>
        <v/>
      </c>
      <c r="AB20">
        <f>HYPERLINK("https://klasma.github.io/Logging_1487/klagomålsmail/A 10515-2025 FSC-klagomål mail.docx", "A 10515-2025")</f>
        <v/>
      </c>
      <c r="AC20">
        <f>HYPERLINK("https://klasma.github.io/Logging_1487/tillsyn/A 10515-2025 tillsynsbegäran.docx", "A 10515-2025")</f>
        <v/>
      </c>
      <c r="AD20">
        <f>HYPERLINK("https://klasma.github.io/Logging_1487/tillsynsmail/A 10515-2025 tillsynsbegäran mail.docx", "A 10515-2025")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46323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46323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46323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46323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46323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46323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46323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46323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46323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46323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46323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46323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46323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46323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46323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46323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46323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46323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46323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46323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46323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46323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46323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46323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46323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46323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46323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17871-2024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45419</v>
      </c>
      <c r="E48" s="1" t="n">
        <v>46323</v>
      </c>
      <c r="F48" t="inlineStr">
        <is>
          <t>VÄSTRA GÖTALANDS LÄN</t>
        </is>
      </c>
      <c r="G48" t="inlineStr">
        <is>
          <t>VÄNERSBORG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46323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46323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65120-2023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45287</v>
      </c>
      <c r="E51" s="1" t="n">
        <v>46323</v>
      </c>
      <c r="F51" t="inlineStr">
        <is>
          <t>VÄSTRA GÖTALANDS LÄN</t>
        </is>
      </c>
      <c r="G51" t="inlineStr">
        <is>
          <t>VÄNERSBORG</t>
        </is>
      </c>
      <c r="I51" t="n">
        <v>11.4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46323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46323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45057</v>
      </c>
      <c r="E54" s="1" t="n">
        <v>46323</v>
      </c>
      <c r="F54" t="inlineStr">
        <is>
          <t>VÄSTRA GÖTALANDS LÄN</t>
        </is>
      </c>
      <c r="G54" t="inlineStr">
        <is>
          <t>VÄNERSBORG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33476-2022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44788</v>
      </c>
      <c r="E55" s="1" t="n">
        <v>46323</v>
      </c>
      <c r="F55" t="inlineStr">
        <is>
          <t>VÄSTRA GÖTALANDS LÄN</t>
        </is>
      </c>
      <c r="G55" t="inlineStr">
        <is>
          <t>VÄNERSBORG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46323</v>
      </c>
      <c r="F56" t="inlineStr">
        <is>
          <t>VÄSTRA GÖTALANDS LÄN</t>
        </is>
      </c>
      <c r="G56" t="inlineStr">
        <is>
          <t>VÄNERSBORG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2146-2025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45672</v>
      </c>
      <c r="E57" s="1" t="n">
        <v>46323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46323</v>
      </c>
      <c r="F58" t="inlineStr">
        <is>
          <t>VÄSTRA GÖTALANDS LÄN</t>
        </is>
      </c>
      <c r="G58" t="inlineStr">
        <is>
          <t>VÄNERSBORG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44930</v>
      </c>
      <c r="E59" s="1" t="n">
        <v>46323</v>
      </c>
      <c r="F59" t="inlineStr">
        <is>
          <t>VÄSTRA GÖTALANDS LÄN</t>
        </is>
      </c>
      <c r="G59" t="inlineStr">
        <is>
          <t>VÄNERSBORG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46323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46323</v>
      </c>
      <c r="F61" t="inlineStr">
        <is>
          <t>VÄSTRA GÖTALANDS LÄN</t>
        </is>
      </c>
      <c r="G61" t="inlineStr">
        <is>
          <t>VÄNERSBORG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44747</v>
      </c>
      <c r="E62" s="1" t="n">
        <v>46323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45571</v>
      </c>
      <c r="E63" s="1" t="n">
        <v>46323</v>
      </c>
      <c r="F63" t="inlineStr">
        <is>
          <t>VÄSTRA GÖTALANDS LÄN</t>
        </is>
      </c>
      <c r="G63" t="inlineStr">
        <is>
          <t>VÄNERSBORG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46323</v>
      </c>
      <c r="F64" t="inlineStr">
        <is>
          <t>VÄSTRA GÖTALANDS LÄN</t>
        </is>
      </c>
      <c r="G64" t="inlineStr">
        <is>
          <t>VÄNERSBORG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24107-2024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45456</v>
      </c>
      <c r="E65" s="1" t="n">
        <v>46323</v>
      </c>
      <c r="F65" t="inlineStr">
        <is>
          <t>VÄSTRA GÖTALANDS LÄN</t>
        </is>
      </c>
      <c r="G65" t="inlineStr">
        <is>
          <t>VÄNERSBORG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44769</v>
      </c>
      <c r="E66" s="1" t="n">
        <v>46323</v>
      </c>
      <c r="F66" t="inlineStr">
        <is>
          <t>VÄSTRA GÖTALANDS LÄN</t>
        </is>
      </c>
      <c r="G66" t="inlineStr">
        <is>
          <t>VÄNERSBORG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14798-2024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45397</v>
      </c>
      <c r="E67" s="1" t="n">
        <v>46323</v>
      </c>
      <c r="F67" t="inlineStr">
        <is>
          <t>VÄSTRA GÖTALANDS LÄN</t>
        </is>
      </c>
      <c r="G67" t="inlineStr">
        <is>
          <t>VÄNERSBORG</t>
        </is>
      </c>
      <c r="H67" t="inlineStr">
        <is>
          <t>Sveaskog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HYPERLINK("https://klasma.github.io/Logging_1487/knärot/A 14798-2024 karta knärot.png", "A 14798-2024")</f>
        <v/>
      </c>
      <c r="AA67">
        <f>HYPERLINK("https://klasma.github.io/Logging_1487/klagomål/A 14798-2024 FSC-klagomål.docx", "A 14798-2024")</f>
        <v/>
      </c>
      <c r="AB67">
        <f>HYPERLINK("https://klasma.github.io/Logging_1487/klagomålsmail/A 14798-2024 FSC-klagomål mail.docx", "A 14798-2024")</f>
        <v/>
      </c>
      <c r="AC67">
        <f>HYPERLINK("https://klasma.github.io/Logging_1487/tillsyn/A 14798-2024 tillsynsbegäran.docx", "A 14798-2024")</f>
        <v/>
      </c>
      <c r="AD67">
        <f>HYPERLINK("https://klasma.github.io/Logging_1487/tillsynsmail/A 14798-2024 tillsynsbegäran mail.docx", "A 14798-2024")</f>
        <v/>
      </c>
    </row>
    <row r="68" ht="15" customHeight="1">
      <c r="A68" t="inlineStr">
        <is>
          <t>A 12610-2024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45382</v>
      </c>
      <c r="E68" s="1" t="n">
        <v>46323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44978</v>
      </c>
      <c r="E69" s="1" t="n">
        <v>46323</v>
      </c>
      <c r="F69" t="inlineStr">
        <is>
          <t>VÄSTRA GÖTALANDS LÄN</t>
        </is>
      </c>
      <c r="G69" t="inlineStr">
        <is>
          <t>VÄNERSBORG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45250</v>
      </c>
      <c r="E70" s="1" t="n">
        <v>46323</v>
      </c>
      <c r="F70" t="inlineStr">
        <is>
          <t>VÄSTRA GÖTALANDS LÄN</t>
        </is>
      </c>
      <c r="G70" t="inlineStr">
        <is>
          <t>VÄNERSBORG</t>
        </is>
      </c>
      <c r="I70" t="n">
        <v>19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46323</v>
      </c>
      <c r="F71" t="inlineStr">
        <is>
          <t>VÄSTRA GÖTALANDS LÄN</t>
        </is>
      </c>
      <c r="G71" t="inlineStr">
        <is>
          <t>VÄNERSBORG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46323</v>
      </c>
      <c r="F72" t="inlineStr">
        <is>
          <t>VÄSTRA GÖTALANDS LÄN</t>
        </is>
      </c>
      <c r="G72" t="inlineStr">
        <is>
          <t>VÄNERSBORG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46323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46323</v>
      </c>
      <c r="F74" t="inlineStr">
        <is>
          <t>VÄSTRA GÖTALANDS LÄN</t>
        </is>
      </c>
      <c r="G74" t="inlineStr">
        <is>
          <t>VÄNERSBORG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46323</v>
      </c>
      <c r="F75" t="inlineStr">
        <is>
          <t>VÄSTRA GÖTALANDS LÄN</t>
        </is>
      </c>
      <c r="G75" t="inlineStr">
        <is>
          <t>VÄNERSBORG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46323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46323</v>
      </c>
      <c r="F77" t="inlineStr">
        <is>
          <t>VÄSTRA GÖTALANDS LÄN</t>
        </is>
      </c>
      <c r="G77" t="inlineStr">
        <is>
          <t>VÄNERSBORG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46323</v>
      </c>
      <c r="F78" t="inlineStr">
        <is>
          <t>VÄSTRA GÖTALANDS LÄN</t>
        </is>
      </c>
      <c r="G78" t="inlineStr">
        <is>
          <t>VÄNERSBORG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16551-2024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45408</v>
      </c>
      <c r="E79" s="1" t="n">
        <v>46323</v>
      </c>
      <c r="F79" t="inlineStr">
        <is>
          <t>VÄSTRA GÖTALANDS LÄN</t>
        </is>
      </c>
      <c r="G79" t="inlineStr">
        <is>
          <t>VÄNERSBORG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46323</v>
      </c>
      <c r="F80" t="inlineStr">
        <is>
          <t>VÄSTRA GÖTALANDS LÄN</t>
        </is>
      </c>
      <c r="G80" t="inlineStr">
        <is>
          <t>VÄNERSBORG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46323</v>
      </c>
      <c r="F81" t="inlineStr">
        <is>
          <t>VÄSTRA GÖTALANDS LÄN</t>
        </is>
      </c>
      <c r="G81" t="inlineStr">
        <is>
          <t>VÄNERSBORG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45043</v>
      </c>
      <c r="E82" s="1" t="n">
        <v>46323</v>
      </c>
      <c r="F82" t="inlineStr">
        <is>
          <t>VÄSTRA GÖTALANDS LÄN</t>
        </is>
      </c>
      <c r="G82" t="inlineStr">
        <is>
          <t>VÄNERSBORG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45751</v>
      </c>
      <c r="E83" s="1" t="n">
        <v>46323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46323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44642</v>
      </c>
      <c r="E85" s="1" t="n">
        <v>46323</v>
      </c>
      <c r="F85" t="inlineStr">
        <is>
          <t>VÄSTRA GÖTALANDS LÄN</t>
        </is>
      </c>
      <c r="G85" t="inlineStr">
        <is>
          <t>VÄNERSBORG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57699-2023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46323</v>
      </c>
      <c r="F86" t="inlineStr">
        <is>
          <t>VÄSTRA GÖTALANDS LÄN</t>
        </is>
      </c>
      <c r="G86" t="inlineStr">
        <is>
          <t>VÄNERSBORG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45294</v>
      </c>
      <c r="E87" s="1" t="n">
        <v>46323</v>
      </c>
      <c r="F87" t="inlineStr">
        <is>
          <t>VÄSTRA GÖTALANDS LÄN</t>
        </is>
      </c>
      <c r="G87" t="inlineStr">
        <is>
          <t>VÄNERSBORG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46323</v>
      </c>
      <c r="F88" t="inlineStr">
        <is>
          <t>VÄSTRA GÖTALANDS LÄN</t>
        </is>
      </c>
      <c r="G88" t="inlineStr">
        <is>
          <t>VÄNERSBORG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46323</v>
      </c>
      <c r="F89" t="inlineStr">
        <is>
          <t>VÄSTRA GÖTALANDS LÄN</t>
        </is>
      </c>
      <c r="G89" t="inlineStr">
        <is>
          <t>VÄNERSBORG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46323</v>
      </c>
      <c r="F90" t="inlineStr">
        <is>
          <t>VÄSTRA GÖTALANDS LÄN</t>
        </is>
      </c>
      <c r="G90" t="inlineStr">
        <is>
          <t>VÄNERSBORG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46323</v>
      </c>
      <c r="F91" t="inlineStr">
        <is>
          <t>VÄSTRA GÖTALANDS LÄN</t>
        </is>
      </c>
      <c r="G91" t="inlineStr">
        <is>
          <t>VÄNERSBORG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46323</v>
      </c>
      <c r="F92" t="inlineStr">
        <is>
          <t>VÄSTRA GÖTALANDS LÄN</t>
        </is>
      </c>
      <c r="G92" t="inlineStr">
        <is>
          <t>VÄNERSBORG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46323</v>
      </c>
      <c r="F93" t="inlineStr">
        <is>
          <t>VÄSTRA GÖTALANDS LÄN</t>
        </is>
      </c>
      <c r="G93" t="inlineStr">
        <is>
          <t>VÄNERSBORG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46323</v>
      </c>
      <c r="F94" t="inlineStr">
        <is>
          <t>VÄSTRA GÖTALANDS LÄN</t>
        </is>
      </c>
      <c r="G94" t="inlineStr">
        <is>
          <t>VÄNERSBORG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46323</v>
      </c>
      <c r="F95" t="inlineStr">
        <is>
          <t>VÄSTRA GÖTALANDS LÄN</t>
        </is>
      </c>
      <c r="G95" t="inlineStr">
        <is>
          <t>VÄNERSBORG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45058</v>
      </c>
      <c r="E96" s="1" t="n">
        <v>46323</v>
      </c>
      <c r="F96" t="inlineStr">
        <is>
          <t>VÄSTRA GÖTALANDS LÄN</t>
        </is>
      </c>
      <c r="G96" t="inlineStr">
        <is>
          <t>VÄNERSBORG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46323</v>
      </c>
      <c r="F97" t="inlineStr">
        <is>
          <t>VÄSTRA GÖTALANDS LÄN</t>
        </is>
      </c>
      <c r="G97" t="inlineStr">
        <is>
          <t>VÄNERSBORG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28263-2023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45099</v>
      </c>
      <c r="E98" s="1" t="n">
        <v>46323</v>
      </c>
      <c r="F98" t="inlineStr">
        <is>
          <t>VÄSTRA GÖTALANDS LÄN</t>
        </is>
      </c>
      <c r="G98" t="inlineStr">
        <is>
          <t>VÄNERSBORG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46323</v>
      </c>
      <c r="F99" t="inlineStr">
        <is>
          <t>VÄSTRA GÖTALANDS LÄN</t>
        </is>
      </c>
      <c r="G99" t="inlineStr">
        <is>
          <t>VÄNERSBORG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27232-2024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45471</v>
      </c>
      <c r="E100" s="1" t="n">
        <v>46323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46323</v>
      </c>
      <c r="F101" t="inlineStr">
        <is>
          <t>VÄSTRA GÖTALANDS LÄN</t>
        </is>
      </c>
      <c r="G101" t="inlineStr">
        <is>
          <t>VÄNERSBORG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46323</v>
      </c>
      <c r="F102" t="inlineStr">
        <is>
          <t>VÄSTRA GÖTALANDS LÄN</t>
        </is>
      </c>
      <c r="G102" t="inlineStr">
        <is>
          <t>VÄNERSBORG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45646</v>
      </c>
      <c r="E103" s="1" t="n">
        <v>46323</v>
      </c>
      <c r="F103" t="inlineStr">
        <is>
          <t>VÄSTRA GÖTALANDS LÄN</t>
        </is>
      </c>
      <c r="G103" t="inlineStr">
        <is>
          <t>VÄNERSBORG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46323</v>
      </c>
      <c r="F104" t="inlineStr">
        <is>
          <t>VÄSTRA GÖTALANDS LÄN</t>
        </is>
      </c>
      <c r="G104" t="inlineStr">
        <is>
          <t>VÄNERSBORG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46323</v>
      </c>
      <c r="F105" t="inlineStr">
        <is>
          <t>VÄSTRA GÖTALANDS LÄN</t>
        </is>
      </c>
      <c r="G105" t="inlineStr">
        <is>
          <t>VÄNERSBORG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46323</v>
      </c>
      <c r="F106" t="inlineStr">
        <is>
          <t>VÄSTRA GÖTALANDS LÄN</t>
        </is>
      </c>
      <c r="G106" t="inlineStr">
        <is>
          <t>VÄNERSBORG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46323</v>
      </c>
      <c r="F107" t="inlineStr">
        <is>
          <t>VÄSTRA GÖTALANDS LÄN</t>
        </is>
      </c>
      <c r="G107" t="inlineStr">
        <is>
          <t>VÄNERSBORG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46323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46323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46323</v>
      </c>
      <c r="F110" t="inlineStr">
        <is>
          <t>VÄSTRA GÖTALANDS LÄN</t>
        </is>
      </c>
      <c r="G110" t="inlineStr">
        <is>
          <t>VÄNERSBORG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45307</v>
      </c>
      <c r="E111" s="1" t="n">
        <v>46323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46323</v>
      </c>
      <c r="F112" t="inlineStr">
        <is>
          <t>VÄSTRA GÖTALANDS LÄN</t>
        </is>
      </c>
      <c r="G112" t="inlineStr">
        <is>
          <t>VÄNERSBORG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46323</v>
      </c>
      <c r="F113" t="inlineStr">
        <is>
          <t>VÄSTRA GÖTALANDS LÄN</t>
        </is>
      </c>
      <c r="G113" t="inlineStr">
        <is>
          <t>VÄNERSBORG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14722-2023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45014</v>
      </c>
      <c r="E114" s="1" t="n">
        <v>46323</v>
      </c>
      <c r="F114" t="inlineStr">
        <is>
          <t>VÄSTRA GÖTALANDS LÄN</t>
        </is>
      </c>
      <c r="G114" t="inlineStr">
        <is>
          <t>VÄNERSBORG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44623</v>
      </c>
      <c r="E115" s="1" t="n">
        <v>46323</v>
      </c>
      <c r="F115" t="inlineStr">
        <is>
          <t>VÄSTRA GÖTALANDS LÄN</t>
        </is>
      </c>
      <c r="G115" t="inlineStr">
        <is>
          <t>VÄNERSBORG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45571</v>
      </c>
      <c r="E116" s="1" t="n">
        <v>46323</v>
      </c>
      <c r="F116" t="inlineStr">
        <is>
          <t>VÄSTRA GÖTALANDS LÄN</t>
        </is>
      </c>
      <c r="G116" t="inlineStr">
        <is>
          <t>VÄNERSBORG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46323</v>
      </c>
      <c r="F117" t="inlineStr">
        <is>
          <t>VÄSTRA GÖTALANDS LÄN</t>
        </is>
      </c>
      <c r="G117" t="inlineStr">
        <is>
          <t>VÄNERSBORG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46323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45030</v>
      </c>
      <c r="E119" s="1" t="n">
        <v>46323</v>
      </c>
      <c r="F119" t="inlineStr">
        <is>
          <t>VÄSTRA GÖTALANDS LÄN</t>
        </is>
      </c>
      <c r="G119" t="inlineStr">
        <is>
          <t>VÄNERSBORG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46323</v>
      </c>
      <c r="F120" t="inlineStr">
        <is>
          <t>VÄSTRA GÖTALANDS LÄN</t>
        </is>
      </c>
      <c r="G120" t="inlineStr">
        <is>
          <t>VÄNERSBORG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46323</v>
      </c>
      <c r="F121" t="inlineStr">
        <is>
          <t>VÄSTRA GÖTALANDS LÄN</t>
        </is>
      </c>
      <c r="G121" t="inlineStr">
        <is>
          <t>VÄNERSBORG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46323</v>
      </c>
      <c r="F122" t="inlineStr">
        <is>
          <t>VÄSTRA GÖTALANDS LÄN</t>
        </is>
      </c>
      <c r="G122" t="inlineStr">
        <is>
          <t>VÄNERSBORG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46323</v>
      </c>
      <c r="F123" t="inlineStr">
        <is>
          <t>VÄSTRA GÖTALANDS LÄN</t>
        </is>
      </c>
      <c r="G123" t="inlineStr">
        <is>
          <t>VÄNERSBORG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42698-2024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45566</v>
      </c>
      <c r="E124" s="1" t="n">
        <v>46323</v>
      </c>
      <c r="F124" t="inlineStr">
        <is>
          <t>VÄSTRA GÖTALANDS LÄN</t>
        </is>
      </c>
      <c r="G124" t="inlineStr">
        <is>
          <t>VÄNERSBORG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46323</v>
      </c>
      <c r="F125" t="inlineStr">
        <is>
          <t>VÄSTRA GÖTALANDS LÄN</t>
        </is>
      </c>
      <c r="G125" t="inlineStr">
        <is>
          <t>VÄNERSBORG</t>
        </is>
      </c>
      <c r="I125" t="n">
        <v>13.4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56734-2023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46323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45134</v>
      </c>
      <c r="E127" s="1" t="n">
        <v>46323</v>
      </c>
      <c r="F127" t="inlineStr">
        <is>
          <t>VÄSTRA GÖTALANDS LÄN</t>
        </is>
      </c>
      <c r="G127" t="inlineStr">
        <is>
          <t>VÄNERSBORG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54863-2025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46323</v>
      </c>
      <c r="F128" t="inlineStr">
        <is>
          <t>VÄSTRA GÖTALANDS LÄN</t>
        </is>
      </c>
      <c r="G128" t="inlineStr">
        <is>
          <t>VÄNERSBORG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56261-2025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45974</v>
      </c>
      <c r="E129" s="1" t="n">
        <v>46323</v>
      </c>
      <c r="F129" t="inlineStr">
        <is>
          <t>VÄSTRA GÖTALANDS LÄN</t>
        </is>
      </c>
      <c r="G129" t="inlineStr">
        <is>
          <t>VÄNERSBORG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46323</v>
      </c>
      <c r="F130" t="inlineStr">
        <is>
          <t>VÄSTRA GÖTALANDS LÄN</t>
        </is>
      </c>
      <c r="G130" t="inlineStr">
        <is>
          <t>VÄNERSBORG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46323</v>
      </c>
      <c r="F131" t="inlineStr">
        <is>
          <t>VÄSTRA GÖTALANDS LÄN</t>
        </is>
      </c>
      <c r="G131" t="inlineStr">
        <is>
          <t>VÄNERSBORG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46323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45057</v>
      </c>
      <c r="E133" s="1" t="n">
        <v>46323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45399</v>
      </c>
      <c r="E134" s="1" t="n">
        <v>46323</v>
      </c>
      <c r="F134" t="inlineStr">
        <is>
          <t>VÄSTRA GÖTALANDS LÄN</t>
        </is>
      </c>
      <c r="G134" t="inlineStr">
        <is>
          <t>VÄNERSBORG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46323</v>
      </c>
      <c r="F135" t="inlineStr">
        <is>
          <t>VÄSTRA GÖTALANDS LÄN</t>
        </is>
      </c>
      <c r="G135" t="inlineStr">
        <is>
          <t>VÄNERSBORG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48161-2024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46323</v>
      </c>
      <c r="F136" t="inlineStr">
        <is>
          <t>VÄSTRA GÖTALANDS LÄN</t>
        </is>
      </c>
      <c r="G136" t="inlineStr">
        <is>
          <t>VÄNERSBORG</t>
        </is>
      </c>
      <c r="I136" t="n">
        <v>42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46323</v>
      </c>
      <c r="F137" t="inlineStr">
        <is>
          <t>VÄSTRA GÖTALANDS LÄN</t>
        </is>
      </c>
      <c r="G137" t="inlineStr">
        <is>
          <t>VÄNERSBORG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45994</v>
      </c>
      <c r="E138" s="1" t="n">
        <v>46323</v>
      </c>
      <c r="F138" t="inlineStr">
        <is>
          <t>VÄSTRA GÖTALANDS LÄN</t>
        </is>
      </c>
      <c r="G138" t="inlineStr">
        <is>
          <t>VÄNERSBORG</t>
        </is>
      </c>
      <c r="I138" t="n">
        <v>11.5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46323</v>
      </c>
      <c r="F139" t="inlineStr">
        <is>
          <t>VÄSTRA GÖTALANDS LÄN</t>
        </is>
      </c>
      <c r="G139" t="inlineStr">
        <is>
          <t>VÄNERSBORG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46323</v>
      </c>
      <c r="F140" t="inlineStr">
        <is>
          <t>VÄSTRA GÖTALANDS LÄN</t>
        </is>
      </c>
      <c r="G140" t="inlineStr">
        <is>
          <t>VÄNERSBORG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46323</v>
      </c>
      <c r="F141" t="inlineStr">
        <is>
          <t>VÄSTRA GÖTALANDS LÄN</t>
        </is>
      </c>
      <c r="G141" t="inlineStr">
        <is>
          <t>VÄNERSBORG</t>
        </is>
      </c>
      <c r="I141" t="n">
        <v>12.8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46323</v>
      </c>
      <c r="F142" t="inlineStr">
        <is>
          <t>VÄSTRA GÖTALANDS LÄN</t>
        </is>
      </c>
      <c r="G142" t="inlineStr">
        <is>
          <t>VÄNERSBORG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46323</v>
      </c>
      <c r="F143" t="inlineStr">
        <is>
          <t>VÄSTRA GÖTALANDS LÄN</t>
        </is>
      </c>
      <c r="G143" t="inlineStr">
        <is>
          <t>VÄNERSBORG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64606-2023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46323</v>
      </c>
      <c r="F144" t="inlineStr">
        <is>
          <t>VÄSTRA GÖTALANDS LÄN</t>
        </is>
      </c>
      <c r="G144" t="inlineStr">
        <is>
          <t>VÄNERSBORG</t>
        </is>
      </c>
      <c r="I144" t="n">
        <v>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45786</v>
      </c>
      <c r="E145" s="1" t="n">
        <v>46323</v>
      </c>
      <c r="F145" t="inlineStr">
        <is>
          <t>VÄSTRA GÖTALANDS LÄN</t>
        </is>
      </c>
      <c r="G145" t="inlineStr">
        <is>
          <t>VÄNERSBORG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45602</v>
      </c>
      <c r="E146" s="1" t="n">
        <v>46323</v>
      </c>
      <c r="F146" t="inlineStr">
        <is>
          <t>VÄSTRA GÖTALANDS LÄN</t>
        </is>
      </c>
      <c r="G146" t="inlineStr">
        <is>
          <t>VÄNERSBORG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46323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46203</v>
      </c>
      <c r="E148" s="1" t="n">
        <v>46323</v>
      </c>
      <c r="F148" t="inlineStr">
        <is>
          <t>VÄSTRA GÖTALANDS LÄN</t>
        </is>
      </c>
      <c r="G148" t="inlineStr">
        <is>
          <t>VÄNERSBORG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46323</v>
      </c>
      <c r="F149" t="inlineStr">
        <is>
          <t>VÄSTRA GÖTALANDS LÄN</t>
        </is>
      </c>
      <c r="G149" t="inlineStr">
        <is>
          <t>VÄNERSBORG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13666-2025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45736</v>
      </c>
      <c r="E150" s="1" t="n">
        <v>46323</v>
      </c>
      <c r="F150" t="inlineStr">
        <is>
          <t>VÄSTRA GÖTALANDS LÄN</t>
        </is>
      </c>
      <c r="G150" t="inlineStr">
        <is>
          <t>VÄNERSBORG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46323</v>
      </c>
      <c r="F151" t="inlineStr">
        <is>
          <t>VÄSTRA GÖTALANDS LÄN</t>
        </is>
      </c>
      <c r="G151" t="inlineStr">
        <is>
          <t>VÄNERSBORG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46323</v>
      </c>
      <c r="F152" t="inlineStr">
        <is>
          <t>VÄSTRA GÖTALANDS LÄN</t>
        </is>
      </c>
      <c r="G152" t="inlineStr">
        <is>
          <t>VÄNERSBORG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30418-2026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46209</v>
      </c>
      <c r="E153" s="1" t="n">
        <v>46323</v>
      </c>
      <c r="F153" t="inlineStr">
        <is>
          <t>VÄSTRA GÖTALANDS LÄN</t>
        </is>
      </c>
      <c r="G153" t="inlineStr">
        <is>
          <t>VÄNERSBORG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46323</v>
      </c>
      <c r="F154" t="inlineStr">
        <is>
          <t>VÄSTRA GÖTALANDS LÄN</t>
        </is>
      </c>
      <c r="G154" t="inlineStr">
        <is>
          <t>VÄNERSBORG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46323</v>
      </c>
      <c r="F155" t="inlineStr">
        <is>
          <t>VÄSTRA GÖTALANDS LÄN</t>
        </is>
      </c>
      <c r="G155" t="inlineStr">
        <is>
          <t>VÄNERSBORG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11883-2025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45728</v>
      </c>
      <c r="E156" s="1" t="n">
        <v>46323</v>
      </c>
      <c r="F156" t="inlineStr">
        <is>
          <t>VÄSTRA GÖTALANDS LÄN</t>
        </is>
      </c>
      <c r="G156" t="inlineStr">
        <is>
          <t>VÄNERSBORG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46323</v>
      </c>
      <c r="F157" t="inlineStr">
        <is>
          <t>VÄSTRA GÖTALANDS LÄN</t>
        </is>
      </c>
      <c r="G157" t="inlineStr">
        <is>
          <t>VÄNERSBORG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45798</v>
      </c>
      <c r="E158" s="1" t="n">
        <v>46323</v>
      </c>
      <c r="F158" t="inlineStr">
        <is>
          <t>VÄSTRA GÖTALANDS LÄN</t>
        </is>
      </c>
      <c r="G158" t="inlineStr">
        <is>
          <t>VÄNERSBORG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46035</v>
      </c>
      <c r="E159" s="1" t="n">
        <v>46323</v>
      </c>
      <c r="F159" t="inlineStr">
        <is>
          <t>VÄSTRA GÖTALANDS LÄN</t>
        </is>
      </c>
      <c r="G159" t="inlineStr">
        <is>
          <t>VÄNERSBORG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46323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46323</v>
      </c>
      <c r="F161" t="inlineStr">
        <is>
          <t>VÄSTRA GÖTALANDS LÄN</t>
        </is>
      </c>
      <c r="G161" t="inlineStr">
        <is>
          <t>VÄNERSBORG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46220</v>
      </c>
      <c r="E162" s="1" t="n">
        <v>46323</v>
      </c>
      <c r="F162" t="inlineStr">
        <is>
          <t>VÄSTRA GÖTALANDS LÄN</t>
        </is>
      </c>
      <c r="G162" t="inlineStr">
        <is>
          <t>VÄNERSBORG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44838</v>
      </c>
      <c r="E163" s="1" t="n">
        <v>46323</v>
      </c>
      <c r="F163" t="inlineStr">
        <is>
          <t>VÄSTRA GÖTALANDS LÄN</t>
        </is>
      </c>
      <c r="G163" t="inlineStr">
        <is>
          <t>VÄNERSBORG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46220</v>
      </c>
      <c r="E164" s="1" t="n">
        <v>46323</v>
      </c>
      <c r="F164" t="inlineStr">
        <is>
          <t>VÄSTRA GÖTALANDS LÄN</t>
        </is>
      </c>
      <c r="G164" t="inlineStr">
        <is>
          <t>VÄNERSBORG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46323</v>
      </c>
      <c r="F165" t="inlineStr">
        <is>
          <t>VÄSTRA GÖTALANDS LÄN</t>
        </is>
      </c>
      <c r="G165" t="inlineStr">
        <is>
          <t>VÄNERSBORG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31562-2026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46224</v>
      </c>
      <c r="E166" s="1" t="n">
        <v>46323</v>
      </c>
      <c r="F166" t="inlineStr">
        <is>
          <t>VÄSTRA GÖTALANDS LÄN</t>
        </is>
      </c>
      <c r="G166" t="inlineStr">
        <is>
          <t>VÄNERSBORG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46224</v>
      </c>
      <c r="E167" s="1" t="n">
        <v>46323</v>
      </c>
      <c r="F167" t="inlineStr">
        <is>
          <t>VÄSTRA GÖTALANDS LÄN</t>
        </is>
      </c>
      <c r="G167" t="inlineStr">
        <is>
          <t>VÄNERSBORG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44683</v>
      </c>
      <c r="E168" s="1" t="n">
        <v>46323</v>
      </c>
      <c r="F168" t="inlineStr">
        <is>
          <t>VÄSTRA GÖTALANDS LÄN</t>
        </is>
      </c>
      <c r="G168" t="inlineStr">
        <is>
          <t>VÄNERSBORG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45244</v>
      </c>
      <c r="E169" s="1" t="n">
        <v>46323</v>
      </c>
      <c r="F169" t="inlineStr">
        <is>
          <t>VÄSTRA GÖTALANDS LÄN</t>
        </is>
      </c>
      <c r="G169" t="inlineStr">
        <is>
          <t>VÄNERSBORG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46323</v>
      </c>
      <c r="F170" t="inlineStr">
        <is>
          <t>VÄSTRA GÖTALANDS LÄN</t>
        </is>
      </c>
      <c r="G170" t="inlineStr">
        <is>
          <t>VÄNERSBORG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46323</v>
      </c>
      <c r="F171" t="inlineStr">
        <is>
          <t>VÄSTRA GÖTALANDS LÄN</t>
        </is>
      </c>
      <c r="G171" t="inlineStr">
        <is>
          <t>VÄNERSBORG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46323</v>
      </c>
      <c r="F172" t="inlineStr">
        <is>
          <t>VÄSTRA GÖTALANDS LÄN</t>
        </is>
      </c>
      <c r="G172" t="inlineStr">
        <is>
          <t>VÄNERSBORG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46323</v>
      </c>
      <c r="F173" t="inlineStr">
        <is>
          <t>VÄSTRA GÖTALANDS LÄN</t>
        </is>
      </c>
      <c r="G173" t="inlineStr">
        <is>
          <t>VÄNERSBORG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44824</v>
      </c>
      <c r="E174" s="1" t="n">
        <v>46323</v>
      </c>
      <c r="F174" t="inlineStr">
        <is>
          <t>VÄSTRA GÖTALANDS LÄN</t>
        </is>
      </c>
      <c r="G174" t="inlineStr">
        <is>
          <t>VÄNERSBORG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46239</v>
      </c>
      <c r="E175" s="1" t="n">
        <v>46323</v>
      </c>
      <c r="F175" t="inlineStr">
        <is>
          <t>VÄSTRA GÖTALANDS LÄN</t>
        </is>
      </c>
      <c r="G175" t="inlineStr">
        <is>
          <t>VÄNERSBORG</t>
        </is>
      </c>
      <c r="I175" t="n">
        <v>11.5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46239</v>
      </c>
      <c r="E176" s="1" t="n">
        <v>46323</v>
      </c>
      <c r="F176" t="inlineStr">
        <is>
          <t>VÄSTRA GÖTALANDS LÄN</t>
        </is>
      </c>
      <c r="G176" t="inlineStr">
        <is>
          <t>VÄNERSBORG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46323</v>
      </c>
      <c r="F177" t="inlineStr">
        <is>
          <t>VÄSTRA GÖTALANDS LÄN</t>
        </is>
      </c>
      <c r="G177" t="inlineStr">
        <is>
          <t>VÄNERSBORG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9289-2026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46070</v>
      </c>
      <c r="E178" s="1" t="n">
        <v>46323</v>
      </c>
      <c r="F178" t="inlineStr">
        <is>
          <t>VÄSTRA GÖTALANDS LÄN</t>
        </is>
      </c>
      <c r="G178" t="inlineStr">
        <is>
          <t>VÄNERSBORG</t>
        </is>
      </c>
      <c r="H178" t="inlineStr">
        <is>
          <t>Kommuner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46286</v>
      </c>
      <c r="E179" s="1" t="n">
        <v>46323</v>
      </c>
      <c r="F179" t="inlineStr">
        <is>
          <t>VÄSTRA GÖTALANDS LÄN</t>
        </is>
      </c>
      <c r="G179" t="inlineStr">
        <is>
          <t>VÄNERSBORG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45256</v>
      </c>
      <c r="E180" s="1" t="n">
        <v>46323</v>
      </c>
      <c r="F180" t="inlineStr">
        <is>
          <t>VÄSTRA GÖTALANDS LÄN</t>
        </is>
      </c>
      <c r="G180" t="inlineStr">
        <is>
          <t>VÄNERSBORG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46323</v>
      </c>
      <c r="F181" t="inlineStr">
        <is>
          <t>VÄSTRA GÖTALANDS LÄN</t>
        </is>
      </c>
      <c r="G181" t="inlineStr">
        <is>
          <t>VÄNERSBORG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46323</v>
      </c>
      <c r="F182" t="inlineStr">
        <is>
          <t>VÄSTRA GÖTALANDS LÄN</t>
        </is>
      </c>
      <c r="G182" t="inlineStr">
        <is>
          <t>VÄNERSBORG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44852</v>
      </c>
      <c r="E183" s="1" t="n">
        <v>46323</v>
      </c>
      <c r="F183" t="inlineStr">
        <is>
          <t>VÄSTRA GÖTALANDS LÄN</t>
        </is>
      </c>
      <c r="G183" t="inlineStr">
        <is>
          <t>VÄNERSBORG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45345</v>
      </c>
      <c r="E184" s="1" t="n">
        <v>46323</v>
      </c>
      <c r="F184" t="inlineStr">
        <is>
          <t>VÄSTRA GÖTALANDS LÄN</t>
        </is>
      </c>
      <c r="G184" t="inlineStr">
        <is>
          <t>VÄNERSBORG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13491-2026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46323</v>
      </c>
      <c r="F185" t="inlineStr">
        <is>
          <t>VÄSTRA GÖTALANDS LÄN</t>
        </is>
      </c>
      <c r="G185" t="inlineStr">
        <is>
          <t>VÄNERSBORG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46323</v>
      </c>
      <c r="F186" t="inlineStr">
        <is>
          <t>VÄSTRA GÖTALANDS LÄN</t>
        </is>
      </c>
      <c r="G186" t="inlineStr">
        <is>
          <t>VÄNERSBORG</t>
        </is>
      </c>
      <c r="I186" t="n">
        <v>11.1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45399</v>
      </c>
      <c r="E187" s="1" t="n">
        <v>46323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15107-2024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45399</v>
      </c>
      <c r="E188" s="1" t="n">
        <v>46323</v>
      </c>
      <c r="F188" t="inlineStr">
        <is>
          <t>VÄSTRA GÖTALANDS LÄN</t>
        </is>
      </c>
      <c r="G188" t="inlineStr">
        <is>
          <t>VÄNERSBORG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46323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46323</v>
      </c>
      <c r="F190" t="inlineStr">
        <is>
          <t>VÄSTRA GÖTALANDS LÄN</t>
        </is>
      </c>
      <c r="G190" t="inlineStr">
        <is>
          <t>VÄNERSBORG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46323</v>
      </c>
      <c r="F191" t="inlineStr">
        <is>
          <t>VÄSTRA GÖTALANDS LÄN</t>
        </is>
      </c>
      <c r="G191" t="inlineStr">
        <is>
          <t>VÄNERSBORG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46323</v>
      </c>
      <c r="F192" t="inlineStr">
        <is>
          <t>VÄSTRA GÖTALANDS LÄN</t>
        </is>
      </c>
      <c r="G192" t="inlineStr">
        <is>
          <t>VÄNERSBORG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44784</v>
      </c>
      <c r="E193" s="1" t="n">
        <v>46323</v>
      </c>
      <c r="F193" t="inlineStr">
        <is>
          <t>VÄSTRA GÖTALANDS LÄN</t>
        </is>
      </c>
      <c r="G193" t="inlineStr">
        <is>
          <t>VÄNERSBORG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46323</v>
      </c>
      <c r="F194" t="inlineStr">
        <is>
          <t>VÄSTRA GÖTALANDS LÄN</t>
        </is>
      </c>
      <c r="G194" t="inlineStr">
        <is>
          <t>VÄNERSBORG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45047</v>
      </c>
      <c r="E195" s="1" t="n">
        <v>46323</v>
      </c>
      <c r="F195" t="inlineStr">
        <is>
          <t>VÄSTRA GÖTALANDS LÄN</t>
        </is>
      </c>
      <c r="G195" t="inlineStr">
        <is>
          <t>VÄNERSBORG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46323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46323</v>
      </c>
      <c r="F197" t="inlineStr">
        <is>
          <t>VÄSTRA GÖTALANDS LÄN</t>
        </is>
      </c>
      <c r="G197" t="inlineStr">
        <is>
          <t>VÄNERSBORG</t>
        </is>
      </c>
      <c r="H197" t="inlineStr">
        <is>
          <t>Kommuner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46323</v>
      </c>
      <c r="F198" t="inlineStr">
        <is>
          <t>VÄSTRA GÖTALANDS LÄN</t>
        </is>
      </c>
      <c r="G198" t="inlineStr">
        <is>
          <t>VÄNERSBORG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46323</v>
      </c>
      <c r="F199" t="inlineStr">
        <is>
          <t>VÄSTRA GÖTALANDS LÄN</t>
        </is>
      </c>
      <c r="G199" t="inlineStr">
        <is>
          <t>VÄNERSBORG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46323</v>
      </c>
      <c r="F200" t="inlineStr">
        <is>
          <t>VÄSTRA GÖTALANDS LÄN</t>
        </is>
      </c>
      <c r="G200" t="inlineStr">
        <is>
          <t>VÄNERSBORG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46323</v>
      </c>
      <c r="F201" t="inlineStr">
        <is>
          <t>VÄSTRA GÖTALANDS LÄN</t>
        </is>
      </c>
      <c r="G201" t="inlineStr">
        <is>
          <t>VÄNERSBORG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46323</v>
      </c>
      <c r="F202" t="inlineStr">
        <is>
          <t>VÄSTRA GÖTALANDS LÄN</t>
        </is>
      </c>
      <c r="G202" t="inlineStr">
        <is>
          <t>VÄNERSBORG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46323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46323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46323</v>
      </c>
      <c r="F205" t="inlineStr">
        <is>
          <t>VÄSTRA GÖTALANDS LÄN</t>
        </is>
      </c>
      <c r="G205" t="inlineStr">
        <is>
          <t>VÄNERSBORG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46323</v>
      </c>
      <c r="F206" t="inlineStr">
        <is>
          <t>VÄSTRA GÖTALANDS LÄN</t>
        </is>
      </c>
      <c r="G206" t="inlineStr">
        <is>
          <t>VÄNERSBORG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46323</v>
      </c>
      <c r="F207" t="inlineStr">
        <is>
          <t>VÄSTRA GÖTALANDS LÄN</t>
        </is>
      </c>
      <c r="G207" t="inlineStr">
        <is>
          <t>VÄNERSBORG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46323</v>
      </c>
      <c r="F208" t="inlineStr">
        <is>
          <t>VÄSTRA GÖTALANDS LÄN</t>
        </is>
      </c>
      <c r="G208" t="inlineStr">
        <is>
          <t>VÄNERSBORG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46323</v>
      </c>
      <c r="F209" t="inlineStr">
        <is>
          <t>VÄSTRA GÖTALANDS LÄN</t>
        </is>
      </c>
      <c r="G209" t="inlineStr">
        <is>
          <t>VÄNERSBORG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45328</v>
      </c>
      <c r="E210" s="1" t="n">
        <v>46323</v>
      </c>
      <c r="F210" t="inlineStr">
        <is>
          <t>VÄSTRA GÖTALANDS LÄN</t>
        </is>
      </c>
      <c r="G210" t="inlineStr">
        <is>
          <t>VÄNERSBORG</t>
        </is>
      </c>
      <c r="H210" t="inlineStr">
        <is>
          <t>Kommuner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45592</v>
      </c>
      <c r="E211" s="1" t="n">
        <v>46323</v>
      </c>
      <c r="F211" t="inlineStr">
        <is>
          <t>VÄSTRA GÖTALANDS LÄN</t>
        </is>
      </c>
      <c r="G211" t="inlineStr">
        <is>
          <t>VÄNERSBORG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46128</v>
      </c>
      <c r="E212" s="1" t="n">
        <v>46323</v>
      </c>
      <c r="F212" t="inlineStr">
        <is>
          <t>VÄSTRA GÖTALANDS LÄN</t>
        </is>
      </c>
      <c r="G212" t="inlineStr">
        <is>
          <t>VÄNERSBORG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45001</v>
      </c>
      <c r="E213" s="1" t="n">
        <v>46323</v>
      </c>
      <c r="F213" t="inlineStr">
        <is>
          <t>VÄSTRA GÖTALANDS LÄN</t>
        </is>
      </c>
      <c r="G213" t="inlineStr">
        <is>
          <t>VÄNERSBORG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45062</v>
      </c>
      <c r="E214" s="1" t="n">
        <v>46323</v>
      </c>
      <c r="F214" t="inlineStr">
        <is>
          <t>VÄSTRA GÖTALANDS LÄN</t>
        </is>
      </c>
      <c r="G214" t="inlineStr">
        <is>
          <t>VÄNERSBORG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46323</v>
      </c>
      <c r="F215" t="inlineStr">
        <is>
          <t>VÄSTRA GÖTALANDS LÄN</t>
        </is>
      </c>
      <c r="G215" t="inlineStr">
        <is>
          <t>VÄNERSBORG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46323</v>
      </c>
      <c r="F216" t="inlineStr">
        <is>
          <t>VÄSTRA GÖTALANDS LÄN</t>
        </is>
      </c>
      <c r="G216" t="inlineStr">
        <is>
          <t>VÄNERSBORG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46323</v>
      </c>
      <c r="F217" t="inlineStr">
        <is>
          <t>VÄSTRA GÖTALANDS LÄN</t>
        </is>
      </c>
      <c r="G217" t="inlineStr">
        <is>
          <t>VÄNERSBORG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46262</v>
      </c>
      <c r="E218" s="1" t="n">
        <v>46323</v>
      </c>
      <c r="F218" t="inlineStr">
        <is>
          <t>VÄSTRA GÖTALANDS LÄN</t>
        </is>
      </c>
      <c r="G218" t="inlineStr">
        <is>
          <t>VÄNERSBORG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46323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46323</v>
      </c>
      <c r="F220" t="inlineStr">
        <is>
          <t>VÄSTRA GÖTALANDS LÄN</t>
        </is>
      </c>
      <c r="G220" t="inlineStr">
        <is>
          <t>VÄNERSBORG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46323</v>
      </c>
      <c r="F221" t="inlineStr">
        <is>
          <t>VÄSTRA GÖTALANDS LÄN</t>
        </is>
      </c>
      <c r="G221" t="inlineStr">
        <is>
          <t>VÄNERSBORG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44746</v>
      </c>
      <c r="E222" s="1" t="n">
        <v>46323</v>
      </c>
      <c r="F222" t="inlineStr">
        <is>
          <t>VÄSTRA GÖTALANDS LÄN</t>
        </is>
      </c>
      <c r="G222" t="inlineStr">
        <is>
          <t>VÄNERSBORG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42571-2026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46308</v>
      </c>
      <c r="E223" s="1" t="n">
        <v>46323</v>
      </c>
      <c r="F223" t="inlineStr">
        <is>
          <t>VÄSTRA GÖTALANDS LÄN</t>
        </is>
      </c>
      <c r="G223" t="inlineStr">
        <is>
          <t>VÄNERSBORG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45001</v>
      </c>
      <c r="E224" s="1" t="n">
        <v>46323</v>
      </c>
      <c r="F224" t="inlineStr">
        <is>
          <t>VÄSTRA GÖTALANDS LÄN</t>
        </is>
      </c>
      <c r="G224" t="inlineStr">
        <is>
          <t>VÄNERSBORG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46323</v>
      </c>
      <c r="F225" t="inlineStr">
        <is>
          <t>VÄSTRA GÖTALANDS LÄN</t>
        </is>
      </c>
      <c r="G225" t="inlineStr">
        <is>
          <t>VÄNERSBORG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46308</v>
      </c>
      <c r="E226" s="1" t="n">
        <v>46323</v>
      </c>
      <c r="F226" t="inlineStr">
        <is>
          <t>VÄSTRA GÖTALANDS LÄN</t>
        </is>
      </c>
      <c r="G226" t="inlineStr">
        <is>
          <t>VÄNERSBORG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46323</v>
      </c>
      <c r="F227" t="inlineStr">
        <is>
          <t>VÄSTRA GÖTALANDS LÄN</t>
        </is>
      </c>
      <c r="G227" t="inlineStr">
        <is>
          <t>VÄNERSBORG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45134</v>
      </c>
      <c r="E228" s="1" t="n">
        <v>46323</v>
      </c>
      <c r="F228" t="inlineStr">
        <is>
          <t>VÄSTRA GÖTALANDS LÄN</t>
        </is>
      </c>
      <c r="G228" t="inlineStr">
        <is>
          <t>VÄNERSBORG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42878-2026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46310</v>
      </c>
      <c r="E229" s="1" t="n">
        <v>46323</v>
      </c>
      <c r="F229" t="inlineStr">
        <is>
          <t>VÄSTRA GÖTALANDS LÄN</t>
        </is>
      </c>
      <c r="G229" t="inlineStr">
        <is>
          <t>VÄNERSBORG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15309-2022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44659</v>
      </c>
      <c r="E230" s="1" t="n">
        <v>46323</v>
      </c>
      <c r="F230" t="inlineStr">
        <is>
          <t>VÄSTRA GÖTALANDS LÄN</t>
        </is>
      </c>
      <c r="G230" t="inlineStr">
        <is>
          <t>VÄNERSBORG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44630</v>
      </c>
      <c r="E231" s="1" t="n">
        <v>46323</v>
      </c>
      <c r="F231" t="inlineStr">
        <is>
          <t>VÄSTRA GÖTALANDS LÄN</t>
        </is>
      </c>
      <c r="G231" t="inlineStr">
        <is>
          <t>VÄNERSBORG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46323</v>
      </c>
      <c r="F232" t="inlineStr">
        <is>
          <t>VÄSTRA GÖTALANDS LÄN</t>
        </is>
      </c>
      <c r="G232" t="inlineStr">
        <is>
          <t>VÄNERSBORG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45517</v>
      </c>
      <c r="E233" s="1" t="n">
        <v>46323</v>
      </c>
      <c r="F233" t="inlineStr">
        <is>
          <t>VÄSTRA GÖTALANDS LÄN</t>
        </is>
      </c>
      <c r="G233" t="inlineStr">
        <is>
          <t>VÄNERSBORG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46323</v>
      </c>
      <c r="F234" t="inlineStr">
        <is>
          <t>VÄSTRA GÖTALANDS LÄN</t>
        </is>
      </c>
      <c r="G234" t="inlineStr">
        <is>
          <t>VÄNERSBORG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46323</v>
      </c>
      <c r="F235" t="inlineStr">
        <is>
          <t>VÄSTRA GÖTALANDS LÄN</t>
        </is>
      </c>
      <c r="G235" t="inlineStr">
        <is>
          <t>VÄNERSBORG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46323</v>
      </c>
      <c r="F236" t="inlineStr">
        <is>
          <t>VÄSTRA GÖTALANDS LÄN</t>
        </is>
      </c>
      <c r="G236" t="inlineStr">
        <is>
          <t>VÄNERSBORG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46323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45592</v>
      </c>
      <c r="E238" s="1" t="n">
        <v>46323</v>
      </c>
      <c r="F238" t="inlineStr">
        <is>
          <t>VÄSTRA GÖTALANDS LÄN</t>
        </is>
      </c>
      <c r="G238" t="inlineStr">
        <is>
          <t>VÄNERSBORG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46323</v>
      </c>
      <c r="F239" t="inlineStr">
        <is>
          <t>VÄSTRA GÖTALANDS LÄN</t>
        </is>
      </c>
      <c r="G239" t="inlineStr">
        <is>
          <t>VÄNERSBORG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46323</v>
      </c>
      <c r="F240" t="inlineStr">
        <is>
          <t>VÄSTRA GÖTALANDS LÄN</t>
        </is>
      </c>
      <c r="G240" t="inlineStr">
        <is>
          <t>VÄNERSBORG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46323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22353-2026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46323</v>
      </c>
      <c r="F242" t="inlineStr">
        <is>
          <t>VÄSTRA GÖTALANDS LÄN</t>
        </is>
      </c>
      <c r="G242" t="inlineStr">
        <is>
          <t>VÄNERSBORG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46323</v>
      </c>
      <c r="F243" t="inlineStr">
        <is>
          <t>VÄSTRA GÖTALANDS LÄN</t>
        </is>
      </c>
      <c r="G243" t="inlineStr">
        <is>
          <t>VÄNERSBORG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46323</v>
      </c>
      <c r="F244" t="inlineStr">
        <is>
          <t>VÄSTRA GÖTALANDS LÄN</t>
        </is>
      </c>
      <c r="G244" t="inlineStr">
        <is>
          <t>VÄNERSBORG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46279</v>
      </c>
      <c r="E245" s="1" t="n">
        <v>46323</v>
      </c>
      <c r="F245" t="inlineStr">
        <is>
          <t>VÄSTRA GÖTALANDS LÄN</t>
        </is>
      </c>
      <c r="G245" t="inlineStr">
        <is>
          <t>VÄNERSBORG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46323</v>
      </c>
      <c r="F246" t="inlineStr">
        <is>
          <t>VÄSTRA GÖTALANDS LÄN</t>
        </is>
      </c>
      <c r="G246" t="inlineStr">
        <is>
          <t>VÄNERSBORG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46035</v>
      </c>
      <c r="E247" s="1" t="n">
        <v>46323</v>
      </c>
      <c r="F247" t="inlineStr">
        <is>
          <t>VÄSTRA GÖTALANDS LÄN</t>
        </is>
      </c>
      <c r="G247" t="inlineStr">
        <is>
          <t>VÄNERSBORG</t>
        </is>
      </c>
      <c r="H247" t="inlineStr">
        <is>
          <t>Kommuner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46323</v>
      </c>
      <c r="F248" t="inlineStr">
        <is>
          <t>VÄSTRA GÖTALANDS LÄN</t>
        </is>
      </c>
      <c r="G248" t="inlineStr">
        <is>
          <t>VÄNERSBORG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46323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45134</v>
      </c>
      <c r="E250" s="1" t="n">
        <v>46323</v>
      </c>
      <c r="F250" t="inlineStr">
        <is>
          <t>VÄSTRA GÖTALANDS LÄN</t>
        </is>
      </c>
      <c r="G250" t="inlineStr">
        <is>
          <t>VÄNERSBORG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46323</v>
      </c>
      <c r="F251" t="inlineStr">
        <is>
          <t>VÄSTRA GÖTALANDS LÄN</t>
        </is>
      </c>
      <c r="G251" t="inlineStr">
        <is>
          <t>VÄNERSBORG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46323</v>
      </c>
      <c r="F252" t="inlineStr">
        <is>
          <t>VÄSTRA GÖTALANDS LÄN</t>
        </is>
      </c>
      <c r="G252" t="inlineStr">
        <is>
          <t>VÄNERSBORG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46323</v>
      </c>
      <c r="F253" t="inlineStr">
        <is>
          <t>VÄSTRA GÖTALANDS LÄN</t>
        </is>
      </c>
      <c r="G253" t="inlineStr">
        <is>
          <t>VÄNERSBORG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46323</v>
      </c>
      <c r="F254" t="inlineStr">
        <is>
          <t>VÄSTRA GÖTALANDS LÄN</t>
        </is>
      </c>
      <c r="G254" t="inlineStr">
        <is>
          <t>VÄNERSBORG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46323</v>
      </c>
      <c r="F255" t="inlineStr">
        <is>
          <t>VÄSTRA GÖTALANDS LÄN</t>
        </is>
      </c>
      <c r="G255" t="inlineStr">
        <is>
          <t>VÄNERSBORG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46323</v>
      </c>
      <c r="F256" t="inlineStr">
        <is>
          <t>VÄSTRA GÖTALANDS LÄN</t>
        </is>
      </c>
      <c r="G256" t="inlineStr">
        <is>
          <t>VÄNERSBORG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24769-2026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46171</v>
      </c>
      <c r="E257" s="1" t="n">
        <v>46323</v>
      </c>
      <c r="F257" t="inlineStr">
        <is>
          <t>VÄSTRA GÖTALANDS LÄN</t>
        </is>
      </c>
      <c r="G257" t="inlineStr">
        <is>
          <t>VÄNERSBORG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46323</v>
      </c>
      <c r="F258" t="inlineStr">
        <is>
          <t>VÄSTRA GÖTALANDS LÄN</t>
        </is>
      </c>
      <c r="G258" t="inlineStr">
        <is>
          <t>VÄNERSBORG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46323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46323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46323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2026-10-28T03:15:08Z</dcterms:created>
  <dcterms:modified xmlns:dcterms="http://purl.org/dc/terms/" xmlns:xsi="http://www.w3.org/2001/XMLSchema-instance" xsi:type="dcterms:W3CDTF">2026-10-28T03:15:09Z</dcterms:modified>
</cp:coreProperties>
</file>