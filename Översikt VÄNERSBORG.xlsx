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46217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Y2">
        <f>HYPERLINK("https://klasma.github.io/Logging_1487/klagomål/S 2324-2020 FSC-klagomål.docx", "S 2324-2020")</f>
        <v/>
      </c>
      <c r="Z2">
        <f>HYPERLINK("https://klasma.github.io/Logging_1487/klagomålsmail/S 2324-2020 FSC-klagomål mail.docx", "S 2324-2020")</f>
        <v/>
      </c>
      <c r="AA2">
        <f>HYPERLINK("https://klasma.github.io/Logging_1487/tillsyn/S 2324-2020 tillsynsbegäran.docx", "S 2324-2020")</f>
        <v/>
      </c>
      <c r="AB2">
        <f>HYPERLINK("https://klasma.github.io/Logging_1487/tillsynsmail/S 2324-2020 tillsynsbegäran mail.docx", "S 2324-2020")</f>
        <v/>
      </c>
      <c r="AC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46217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Y3">
        <f>HYPERLINK("https://klasma.github.io/Logging_1487/klagomål/A 18152-2022 FSC-klagomål.docx", "A 18152-2022")</f>
        <v/>
      </c>
      <c r="Z3">
        <f>HYPERLINK("https://klasma.github.io/Logging_1487/klagomålsmail/A 18152-2022 FSC-klagomål mail.docx", "A 18152-2022")</f>
        <v/>
      </c>
      <c r="AA3">
        <f>HYPERLINK("https://klasma.github.io/Logging_1487/tillsyn/A 18152-2022 tillsynsbegäran.docx", "A 18152-2022")</f>
        <v/>
      </c>
      <c r="AB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46217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Y4">
        <f>HYPERLINK("https://klasma.github.io/Logging_1487/klagomål/A 31985-2025 FSC-klagomål.docx", "A 31985-2025")</f>
        <v/>
      </c>
      <c r="Z4">
        <f>HYPERLINK("https://klasma.github.io/Logging_1487/klagomålsmail/A 31985-2025 FSC-klagomål mail.docx", "A 31985-2025")</f>
        <v/>
      </c>
      <c r="AA4">
        <f>HYPERLINK("https://klasma.github.io/Logging_1487/tillsyn/A 31985-2025 tillsynsbegäran.docx", "A 31985-2025")</f>
        <v/>
      </c>
      <c r="AB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46217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Y5">
        <f>HYPERLINK("https://klasma.github.io/Logging_1487/klagomål/A 29369-2022 FSC-klagomål.docx", "A 29369-2022")</f>
        <v/>
      </c>
      <c r="Z5">
        <f>HYPERLINK("https://klasma.github.io/Logging_1487/klagomålsmail/A 29369-2022 FSC-klagomål mail.docx", "A 29369-2022")</f>
        <v/>
      </c>
      <c r="AA5">
        <f>HYPERLINK("https://klasma.github.io/Logging_1487/tillsyn/A 29369-2022 tillsynsbegäran.docx", "A 29369-2022")</f>
        <v/>
      </c>
      <c r="AB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46217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s="2" t="inlineStr">
        <is>
          <t>Skogsknipprot
Blåsippa</t>
        </is>
      </c>
      <c r="V6">
        <f>HYPERLINK("https://klasma.github.io/Logging_1487/artfynd/A 17932-2023 artfynd.xlsx", "A 17932-2023")</f>
        <v/>
      </c>
      <c r="W6">
        <f>HYPERLINK("https://klasma.github.io/Logging_1487/kartor/A 17932-2023 karta.png", "A 17932-2023")</f>
        <v/>
      </c>
      <c r="Y6">
        <f>HYPERLINK("https://klasma.github.io/Logging_1487/klagomål/A 17932-2023 FSC-klagomål.docx", "A 17932-2023")</f>
        <v/>
      </c>
      <c r="Z6">
        <f>HYPERLINK("https://klasma.github.io/Logging_1487/klagomålsmail/A 17932-2023 FSC-klagomål mail.docx", "A 17932-2023")</f>
        <v/>
      </c>
      <c r="AA6">
        <f>HYPERLINK("https://klasma.github.io/Logging_1487/tillsyn/A 17932-2023 tillsynsbegäran.docx", "A 17932-2023")</f>
        <v/>
      </c>
      <c r="AB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46217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Slåtterfibbla
Svinrot</t>
        </is>
      </c>
      <c r="V7">
        <f>HYPERLINK("https://klasma.github.io/Logging_1487/artfynd/A 14752-2025 artfynd.xlsx", "A 14752-2025")</f>
        <v/>
      </c>
      <c r="W7">
        <f>HYPERLINK("https://klasma.github.io/Logging_1487/kartor/A 14752-2025 karta.png", "A 14752-2025")</f>
        <v/>
      </c>
      <c r="Y7">
        <f>HYPERLINK("https://klasma.github.io/Logging_1487/klagomål/A 14752-2025 FSC-klagomål.docx", "A 14752-2025")</f>
        <v/>
      </c>
      <c r="Z7">
        <f>HYPERLINK("https://klasma.github.io/Logging_1487/klagomålsmail/A 14752-2025 FSC-klagomål mail.docx", "A 14752-2025")</f>
        <v/>
      </c>
      <c r="AA7">
        <f>HYPERLINK("https://klasma.github.io/Logging_1487/tillsyn/A 14752-2025 tillsynsbegäran.docx", "A 14752-2025")</f>
        <v/>
      </c>
      <c r="AB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46217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Fällmossa
Guldlockmossa</t>
        </is>
      </c>
      <c r="V8">
        <f>HYPERLINK("https://klasma.github.io/Logging_1487/artfynd/A 32666-2025 artfynd.xlsx", "A 32666-2025")</f>
        <v/>
      </c>
      <c r="W8">
        <f>HYPERLINK("https://klasma.github.io/Logging_1487/kartor/A 32666-2025 karta.png", "A 32666-2025")</f>
        <v/>
      </c>
      <c r="Y8">
        <f>HYPERLINK("https://klasma.github.io/Logging_1487/klagomål/A 32666-2025 FSC-klagomål.docx", "A 32666-2025")</f>
        <v/>
      </c>
      <c r="Z8">
        <f>HYPERLINK("https://klasma.github.io/Logging_1487/klagomålsmail/A 32666-2025 FSC-klagomål mail.docx", "A 32666-2025")</f>
        <v/>
      </c>
      <c r="AA8">
        <f>HYPERLINK("https://klasma.github.io/Logging_1487/tillsyn/A 32666-2025 tillsynsbegäran.docx", "A 32666-2025")</f>
        <v/>
      </c>
      <c r="AB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46217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Y9">
        <f>HYPERLINK("https://klasma.github.io/Logging_1487/klagomål/A 29375-2022 FSC-klagomål.docx", "A 29375-2022")</f>
        <v/>
      </c>
      <c r="Z9">
        <f>HYPERLINK("https://klasma.github.io/Logging_1487/klagomålsmail/A 29375-2022 FSC-klagomål mail.docx", "A 29375-2022")</f>
        <v/>
      </c>
      <c r="AA9">
        <f>HYPERLINK("https://klasma.github.io/Logging_1487/tillsyn/A 29375-2022 tillsynsbegäran.docx", "A 29375-2022")</f>
        <v/>
      </c>
      <c r="AB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46217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Revlummer</t>
        </is>
      </c>
      <c r="V10">
        <f>HYPERLINK("https://klasma.github.io/Logging_1487/artfynd/A 29376-2022 artfynd.xlsx", "A 29376-2022")</f>
        <v/>
      </c>
      <c r="W10">
        <f>HYPERLINK("https://klasma.github.io/Logging_1487/kartor/A 29376-2022 karta.png", "A 29376-2022")</f>
        <v/>
      </c>
      <c r="Y10">
        <f>HYPERLINK("https://klasma.github.io/Logging_1487/klagomål/A 29376-2022 FSC-klagomål.docx", "A 29376-2022")</f>
        <v/>
      </c>
      <c r="Z10">
        <f>HYPERLINK("https://klasma.github.io/Logging_1487/klagomålsmail/A 29376-2022 FSC-klagomål mail.docx", "A 29376-2022")</f>
        <v/>
      </c>
      <c r="AA10">
        <f>HYPERLINK("https://klasma.github.io/Logging_1487/tillsyn/A 29376-2022 tillsynsbegäran.docx", "A 29376-2022")</f>
        <v/>
      </c>
      <c r="AB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46217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Skogsbräsma</t>
        </is>
      </c>
      <c r="V11">
        <f>HYPERLINK("https://klasma.github.io/Logging_1487/artfynd/A 34381-2022 artfynd.xlsx", "A 34381-2022")</f>
        <v/>
      </c>
      <c r="W11">
        <f>HYPERLINK("https://klasma.github.io/Logging_1487/kartor/A 34381-2022 karta.png", "A 34381-2022")</f>
        <v/>
      </c>
      <c r="Y11">
        <f>HYPERLINK("https://klasma.github.io/Logging_1487/klagomål/A 34381-2022 FSC-klagomål.docx", "A 34381-2022")</f>
        <v/>
      </c>
      <c r="Z11">
        <f>HYPERLINK("https://klasma.github.io/Logging_1487/klagomålsmail/A 34381-2022 FSC-klagomål mail.docx", "A 34381-2022")</f>
        <v/>
      </c>
      <c r="AA11">
        <f>HYPERLINK("https://klasma.github.io/Logging_1487/tillsyn/A 34381-2022 tillsynsbegäran.docx", "A 34381-2022")</f>
        <v/>
      </c>
      <c r="AB11">
        <f>HYPERLINK("https://klasma.github.io/Logging_1487/tillsynsmail/A 34381-2022 tillsynsbegäran mail.docx", "A 34381-2022")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46217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Vanlig padda</t>
        </is>
      </c>
      <c r="V12">
        <f>HYPERLINK("https://klasma.github.io/Logging_1487/artfynd/A 17920-2023 artfynd.xlsx", "A 17920-2023")</f>
        <v/>
      </c>
      <c r="W12">
        <f>HYPERLINK("https://klasma.github.io/Logging_1487/kartor/A 17920-2023 karta.png", "A 17920-2023")</f>
        <v/>
      </c>
      <c r="Y12">
        <f>HYPERLINK("https://klasma.github.io/Logging_1487/klagomål/A 17920-2023 FSC-klagomål.docx", "A 17920-2023")</f>
        <v/>
      </c>
      <c r="Z12">
        <f>HYPERLINK("https://klasma.github.io/Logging_1487/klagomålsmail/A 17920-2023 FSC-klagomål mail.docx", "A 17920-2023")</f>
        <v/>
      </c>
      <c r="AA12">
        <f>HYPERLINK("https://klasma.github.io/Logging_1487/tillsyn/A 17920-2023 tillsynsbegäran.docx", "A 17920-2023")</f>
        <v/>
      </c>
      <c r="AB12">
        <f>HYPERLINK("https://klasma.github.io/Logging_1487/tillsynsmail/A 17920-2023 tillsynsbegäran mail.docx", "A 17920-2023")</f>
        <v/>
      </c>
    </row>
    <row r="13" ht="15" customHeight="1">
      <c r="A13" t="inlineStr">
        <is>
          <t>A 48163-2024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45589</v>
      </c>
      <c r="E13" s="1" t="n">
        <v>46217</v>
      </c>
      <c r="F13" t="inlineStr">
        <is>
          <t>VÄSTRA GÖTALANDS LÄN</t>
        </is>
      </c>
      <c r="G13" t="inlineStr">
        <is>
          <t>VÄNERSBORG</t>
        </is>
      </c>
      <c r="I13" t="n">
        <v>14.4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Sångsvan</t>
        </is>
      </c>
      <c r="V13">
        <f>HYPERLINK("https://klasma.github.io/Logging_1487/artfynd/A 48163-2024 artfynd.xlsx", "A 48163-2024")</f>
        <v/>
      </c>
      <c r="W13">
        <f>HYPERLINK("https://klasma.github.io/Logging_1487/kartor/A 48163-2024 karta.png", "A 48163-2024")</f>
        <v/>
      </c>
      <c r="Y13">
        <f>HYPERLINK("https://klasma.github.io/Logging_1487/klagomål/A 48163-2024 FSC-klagomål.docx", "A 48163-2024")</f>
        <v/>
      </c>
      <c r="Z13">
        <f>HYPERLINK("https://klasma.github.io/Logging_1487/klagomålsmail/A 48163-2024 FSC-klagomål mail.docx", "A 48163-2024")</f>
        <v/>
      </c>
      <c r="AA13">
        <f>HYPERLINK("https://klasma.github.io/Logging_1487/tillsyn/A 48163-2024 tillsynsbegäran.docx", "A 48163-2024")</f>
        <v/>
      </c>
      <c r="AB13">
        <f>HYPERLINK("https://klasma.github.io/Logging_1487/tillsynsmail/A 48163-2024 tillsynsbegäran mail.docx", "A 48163-2024")</f>
        <v/>
      </c>
      <c r="AC13">
        <f>HYPERLINK("https://klasma.github.io/Logging_1487/fåglar/A 48163-2024 prioriterade fågelarter.docx", "A 48163-2024")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46217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HYPERLINK("https://klasma.github.io/Logging_1487/artfynd/A 47783-2025 artfynd.xlsx", "A 47783-2025")</f>
        <v/>
      </c>
      <c r="W14">
        <f>HYPERLINK("https://klasma.github.io/Logging_1487/kartor/A 47783-2025 karta.png", "A 47783-2025")</f>
        <v/>
      </c>
      <c r="Y14">
        <f>HYPERLINK("https://klasma.github.io/Logging_1487/klagomål/A 47783-2025 FSC-klagomål.docx", "A 47783-2025")</f>
        <v/>
      </c>
      <c r="Z14">
        <f>HYPERLINK("https://klasma.github.io/Logging_1487/klagomålsmail/A 47783-2025 FSC-klagomål mail.docx", "A 47783-2025")</f>
        <v/>
      </c>
      <c r="AA14">
        <f>HYPERLINK("https://klasma.github.io/Logging_1487/tillsyn/A 47783-2025 tillsynsbegäran.docx", "A 47783-2025")</f>
        <v/>
      </c>
      <c r="AB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46217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Mandelriska</t>
        </is>
      </c>
      <c r="V15">
        <f>HYPERLINK("https://klasma.github.io/Logging_1487/artfynd/A 55331-2025 artfynd.xlsx", "A 55331-2025")</f>
        <v/>
      </c>
      <c r="W15">
        <f>HYPERLINK("https://klasma.github.io/Logging_1487/kartor/A 55331-2025 karta.png", "A 55331-2025")</f>
        <v/>
      </c>
      <c r="Y15">
        <f>HYPERLINK("https://klasma.github.io/Logging_1487/klagomål/A 55331-2025 FSC-klagomål.docx", "A 55331-2025")</f>
        <v/>
      </c>
      <c r="Z15">
        <f>HYPERLINK("https://klasma.github.io/Logging_1487/klagomålsmail/A 55331-2025 FSC-klagomål mail.docx", "A 55331-2025")</f>
        <v/>
      </c>
      <c r="AA15">
        <f>HYPERLINK("https://klasma.github.io/Logging_1487/tillsyn/A 55331-2025 tillsynsbegäran.docx", "A 55331-2025")</f>
        <v/>
      </c>
      <c r="AB15">
        <f>HYPERLINK("https://klasma.github.io/Logging_1487/tillsynsmail/A 55331-2025 tillsynsbegäran mail.docx", "A 55331-2025")</f>
        <v/>
      </c>
    </row>
    <row r="16" ht="15" customHeight="1">
      <c r="A16" t="inlineStr">
        <is>
          <t>A 27794-2026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46191</v>
      </c>
      <c r="E16" s="1" t="n">
        <v>46217</v>
      </c>
      <c r="F16" t="inlineStr">
        <is>
          <t>VÄSTRA GÖTALANDS LÄN</t>
        </is>
      </c>
      <c r="G16" t="inlineStr">
        <is>
          <t>VÄNERSBORG</t>
        </is>
      </c>
      <c r="I16" t="n">
        <v>1.6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Åkerrättika</t>
        </is>
      </c>
      <c r="V16">
        <f>HYPERLINK("https://klasma.github.io/Logging_1487/artfynd/A 27794-2026 artfynd.xlsx", "A 27794-2026")</f>
        <v/>
      </c>
      <c r="W16">
        <f>HYPERLINK("https://klasma.github.io/Logging_1487/kartor/A 27794-2026 karta.png", "A 27794-2026")</f>
        <v/>
      </c>
      <c r="Y16">
        <f>HYPERLINK("https://klasma.github.io/Logging_1487/klagomål/A 27794-2026 FSC-klagomål.docx", "A 27794-2026")</f>
        <v/>
      </c>
      <c r="Z16">
        <f>HYPERLINK("https://klasma.github.io/Logging_1487/klagomålsmail/A 27794-2026 FSC-klagomål mail.docx", "A 27794-2026")</f>
        <v/>
      </c>
      <c r="AA16">
        <f>HYPERLINK("https://klasma.github.io/Logging_1487/tillsyn/A 27794-2026 tillsynsbegäran.docx", "A 27794-2026")</f>
        <v/>
      </c>
      <c r="AB16">
        <f>HYPERLINK("https://klasma.github.io/Logging_1487/tillsynsmail/A 27794-2026 tillsynsbegäran mail.docx", "A 27794-2026")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46217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Gullklöver</t>
        </is>
      </c>
      <c r="V17">
        <f>HYPERLINK("https://klasma.github.io/Logging_1487/artfynd/A 11709-2024 artfynd.xlsx", "A 11709-2024")</f>
        <v/>
      </c>
      <c r="W17">
        <f>HYPERLINK("https://klasma.github.io/Logging_1487/kartor/A 11709-2024 karta.png", "A 11709-2024")</f>
        <v/>
      </c>
      <c r="Y17">
        <f>HYPERLINK("https://klasma.github.io/Logging_1487/klagomål/A 11709-2024 FSC-klagomål.docx", "A 11709-2024")</f>
        <v/>
      </c>
      <c r="Z17">
        <f>HYPERLINK("https://klasma.github.io/Logging_1487/klagomålsmail/A 11709-2024 FSC-klagomål mail.docx", "A 11709-2024")</f>
        <v/>
      </c>
      <c r="AA17">
        <f>HYPERLINK("https://klasma.github.io/Logging_1487/tillsyn/A 11709-2024 tillsynsbegäran.docx", "A 11709-2024")</f>
        <v/>
      </c>
      <c r="AB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45238</v>
      </c>
      <c r="E18" s="1" t="n">
        <v>46217</v>
      </c>
      <c r="F18" t="inlineStr">
        <is>
          <t>VÄSTRA GÖTALANDS LÄN</t>
        </is>
      </c>
      <c r="G18" t="inlineStr">
        <is>
          <t>VÄNERSBORG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Blåsippa</t>
        </is>
      </c>
      <c r="V18">
        <f>HYPERLINK("https://klasma.github.io/Logging_1487/artfynd/A 55617-2023 artfynd.xlsx", "A 55617-2023")</f>
        <v/>
      </c>
      <c r="W18">
        <f>HYPERLINK("https://klasma.github.io/Logging_1487/kartor/A 55617-2023 karta.png", "A 55617-2023")</f>
        <v/>
      </c>
      <c r="Y18">
        <f>HYPERLINK("https://klasma.github.io/Logging_1487/klagomål/A 55617-2023 FSC-klagomål.docx", "A 55617-2023")</f>
        <v/>
      </c>
      <c r="Z18">
        <f>HYPERLINK("https://klasma.github.io/Logging_1487/klagomålsmail/A 55617-2023 FSC-klagomål mail.docx", "A 55617-2023")</f>
        <v/>
      </c>
      <c r="AA18">
        <f>HYPERLINK("https://klasma.github.io/Logging_1487/tillsyn/A 55617-2023 tillsynsbegäran.docx", "A 55617-2023")</f>
        <v/>
      </c>
      <c r="AB18">
        <f>HYPERLINK("https://klasma.github.io/Logging_1487/tillsynsmail/A 55617-2023 tillsynsbegäran mail.docx", "A 55617-2023")</f>
        <v/>
      </c>
    </row>
    <row r="19" ht="15" customHeight="1">
      <c r="A19" t="inlineStr">
        <is>
          <t>A 14918-2026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46104</v>
      </c>
      <c r="E19" s="1" t="n">
        <v>46217</v>
      </c>
      <c r="F19" t="inlineStr">
        <is>
          <t>VÄSTRA GÖTALANDS LÄN</t>
        </is>
      </c>
      <c r="G19" t="inlineStr">
        <is>
          <t>VÄNERSBORG</t>
        </is>
      </c>
      <c r="I19" t="n">
        <v>9.199999999999999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Skogsbräsma</t>
        </is>
      </c>
      <c r="V19">
        <f>HYPERLINK("https://klasma.github.io/Logging_1487/artfynd/A 14918-2026 artfynd.xlsx", "A 14918-2026")</f>
        <v/>
      </c>
      <c r="W19">
        <f>HYPERLINK("https://klasma.github.io/Logging_1487/kartor/A 14918-2026 karta.png", "A 14918-2026")</f>
        <v/>
      </c>
      <c r="Y19">
        <f>HYPERLINK("https://klasma.github.io/Logging_1487/klagomål/A 14918-2026 FSC-klagomål.docx", "A 14918-2026")</f>
        <v/>
      </c>
      <c r="Z19">
        <f>HYPERLINK("https://klasma.github.io/Logging_1487/klagomålsmail/A 14918-2026 FSC-klagomål mail.docx", "A 14918-2026")</f>
        <v/>
      </c>
      <c r="AA19">
        <f>HYPERLINK("https://klasma.github.io/Logging_1487/tillsyn/A 14918-2026 tillsynsbegäran.docx", "A 14918-2026")</f>
        <v/>
      </c>
      <c r="AB19">
        <f>HYPERLINK("https://klasma.github.io/Logging_1487/tillsynsmail/A 14918-2026 tillsynsbegäran mail.docx", "A 14918-2026")</f>
        <v/>
      </c>
    </row>
    <row r="20" ht="15" customHeight="1">
      <c r="A20" t="inlineStr">
        <is>
          <t>A 18733-2026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46128</v>
      </c>
      <c r="E20" s="1" t="n">
        <v>46217</v>
      </c>
      <c r="F20" t="inlineStr">
        <is>
          <t>VÄSTRA GÖTALANDS LÄN</t>
        </is>
      </c>
      <c r="G20" t="inlineStr">
        <is>
          <t>VÄNERSBORG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Tallticka</t>
        </is>
      </c>
      <c r="V20">
        <f>HYPERLINK("https://klasma.github.io/Logging_1487/artfynd/A 18733-2026 artfynd.xlsx", "A 18733-2026")</f>
        <v/>
      </c>
      <c r="W20">
        <f>HYPERLINK("https://klasma.github.io/Logging_1487/kartor/A 18733-2026 karta.png", "A 18733-2026")</f>
        <v/>
      </c>
      <c r="Y20">
        <f>HYPERLINK("https://klasma.github.io/Logging_1487/klagomål/A 18733-2026 FSC-klagomål.docx", "A 18733-2026")</f>
        <v/>
      </c>
      <c r="Z20">
        <f>HYPERLINK("https://klasma.github.io/Logging_1487/klagomålsmail/A 18733-2026 FSC-klagomål mail.docx", "A 18733-2026")</f>
        <v/>
      </c>
      <c r="AA20">
        <f>HYPERLINK("https://klasma.github.io/Logging_1487/tillsyn/A 18733-2026 tillsynsbegäran.docx", "A 18733-2026")</f>
        <v/>
      </c>
      <c r="AB20">
        <f>HYPERLINK("https://klasma.github.io/Logging_1487/tillsynsmail/A 18733-2026 tillsynsbegäran mail.docx", "A 18733-2026")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46217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HYPERLINK("https://klasma.github.io/Logging_1487/artfynd/A 39899-2023 artfynd.xlsx", "A 39899-2023")</f>
        <v/>
      </c>
      <c r="W21">
        <f>HYPERLINK("https://klasma.github.io/Logging_1487/kartor/A 39899-2023 karta.png", "A 39899-2023")</f>
        <v/>
      </c>
      <c r="Y21">
        <f>HYPERLINK("https://klasma.github.io/Logging_1487/klagomål/A 39899-2023 FSC-klagomål.docx", "A 39899-2023")</f>
        <v/>
      </c>
      <c r="Z21">
        <f>HYPERLINK("https://klasma.github.io/Logging_1487/klagomålsmail/A 39899-2023 FSC-klagomål mail.docx", "A 39899-2023")</f>
        <v/>
      </c>
      <c r="AA21">
        <f>HYPERLINK("https://klasma.github.io/Logging_1487/tillsyn/A 39899-2023 tillsynsbegäran.docx", "A 39899-2023")</f>
        <v/>
      </c>
      <c r="AB21">
        <f>HYPERLINK("https://klasma.github.io/Logging_1487/tillsynsmail/A 39899-2023 tillsynsbegäran mail.docx", "A 39899-2023")</f>
        <v/>
      </c>
      <c r="AC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46217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Svinrot</t>
        </is>
      </c>
      <c r="V22">
        <f>HYPERLINK("https://klasma.github.io/Logging_1487/artfynd/A 56739-2023 artfynd.xlsx", "A 56739-2023")</f>
        <v/>
      </c>
      <c r="W22">
        <f>HYPERLINK("https://klasma.github.io/Logging_1487/kartor/A 56739-2023 karta.png", "A 56739-2023")</f>
        <v/>
      </c>
      <c r="Y22">
        <f>HYPERLINK("https://klasma.github.io/Logging_1487/klagomål/A 56739-2023 FSC-klagomål.docx", "A 56739-2023")</f>
        <v/>
      </c>
      <c r="Z22">
        <f>HYPERLINK("https://klasma.github.io/Logging_1487/klagomålsmail/A 56739-2023 FSC-klagomål mail.docx", "A 56739-2023")</f>
        <v/>
      </c>
      <c r="AA22">
        <f>HYPERLINK("https://klasma.github.io/Logging_1487/tillsyn/A 56739-2023 tillsynsbegäran.docx", "A 56739-2023")</f>
        <v/>
      </c>
      <c r="AB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46217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Ljungpipare</t>
        </is>
      </c>
      <c r="V23">
        <f>HYPERLINK("https://klasma.github.io/Logging_1487/artfynd/A 5009-2025 artfynd.xlsx", "A 5009-2025")</f>
        <v/>
      </c>
      <c r="W23">
        <f>HYPERLINK("https://klasma.github.io/Logging_1487/kartor/A 5009-2025 karta.png", "A 5009-2025")</f>
        <v/>
      </c>
      <c r="Y23">
        <f>HYPERLINK("https://klasma.github.io/Logging_1487/klagomål/A 5009-2025 FSC-klagomål.docx", "A 5009-2025")</f>
        <v/>
      </c>
      <c r="Z23">
        <f>HYPERLINK("https://klasma.github.io/Logging_1487/klagomålsmail/A 5009-2025 FSC-klagomål mail.docx", "A 5009-2025")</f>
        <v/>
      </c>
      <c r="AA23">
        <f>HYPERLINK("https://klasma.github.io/Logging_1487/tillsyn/A 5009-2025 tillsynsbegäran.docx", "A 5009-2025")</f>
        <v/>
      </c>
      <c r="AB23">
        <f>HYPERLINK("https://klasma.github.io/Logging_1487/tillsynsmail/A 5009-2025 tillsynsbegäran mail.docx", "A 5009-2025")</f>
        <v/>
      </c>
      <c r="AC23">
        <f>HYPERLINK("https://klasma.github.io/Logging_1487/fåglar/A 5009-2025 prioriterade fågelarter.docx", "A 5009-2025")</f>
        <v/>
      </c>
    </row>
    <row r="24" ht="15" customHeight="1">
      <c r="A24" t="inlineStr">
        <is>
          <t>A 25575-2025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45803</v>
      </c>
      <c r="E24" s="1" t="n">
        <v>46217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Blåmossa</t>
        </is>
      </c>
      <c r="V24">
        <f>HYPERLINK("https://klasma.github.io/Logging_1487/artfynd/A 25575-2025 artfynd.xlsx", "A 25575-2025")</f>
        <v/>
      </c>
      <c r="W24">
        <f>HYPERLINK("https://klasma.github.io/Logging_1487/kartor/A 25575-2025 karta.png", "A 25575-2025")</f>
        <v/>
      </c>
      <c r="Y24">
        <f>HYPERLINK("https://klasma.github.io/Logging_1487/klagomål/A 25575-2025 FSC-klagomål.docx", "A 25575-2025")</f>
        <v/>
      </c>
      <c r="Z24">
        <f>HYPERLINK("https://klasma.github.io/Logging_1487/klagomålsmail/A 25575-2025 FSC-klagomål mail.docx", "A 25575-2025")</f>
        <v/>
      </c>
      <c r="AA24">
        <f>HYPERLINK("https://klasma.github.io/Logging_1487/tillsyn/A 25575-2025 tillsynsbegäran.docx", "A 25575-2025")</f>
        <v/>
      </c>
      <c r="AB24">
        <f>HYPERLINK("https://klasma.github.io/Logging_1487/tillsynsmail/A 25575-2025 tillsynsbegäran mail.docx", "A 25575-2025")</f>
        <v/>
      </c>
    </row>
    <row r="25" ht="15" customHeight="1">
      <c r="A25" t="inlineStr">
        <is>
          <t>A 10515-2025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45721</v>
      </c>
      <c r="E25" s="1" t="n">
        <v>46217</v>
      </c>
      <c r="F25" t="inlineStr">
        <is>
          <t>VÄSTRA GÖTALANDS LÄN</t>
        </is>
      </c>
      <c r="G25" t="inlineStr">
        <is>
          <t>VÄNERSBORG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HYPERLINK("https://klasma.github.io/Logging_1487/artfynd/A 10515-2025 artfynd.xlsx", "A 10515-2025")</f>
        <v/>
      </c>
      <c r="W25">
        <f>HYPERLINK("https://klasma.github.io/Logging_1487/kartor/A 10515-2025 karta.png", "A 10515-2025")</f>
        <v/>
      </c>
      <c r="Y25">
        <f>HYPERLINK("https://klasma.github.io/Logging_1487/klagomål/A 10515-2025 FSC-klagomål.docx", "A 10515-2025")</f>
        <v/>
      </c>
      <c r="Z25">
        <f>HYPERLINK("https://klasma.github.io/Logging_1487/klagomålsmail/A 10515-2025 FSC-klagomål mail.docx", "A 10515-2025")</f>
        <v/>
      </c>
      <c r="AA25">
        <f>HYPERLINK("https://klasma.github.io/Logging_1487/tillsyn/A 10515-2025 tillsynsbegäran.docx", "A 10515-2025")</f>
        <v/>
      </c>
      <c r="AB25">
        <f>HYPERLINK("https://klasma.github.io/Logging_1487/tillsynsmail/A 10515-2025 tillsynsbegäran mail.docx", "A 10515-2025")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46217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Y26">
        <f>HYPERLINK("https://klasma.github.io/Logging_1487/klagomål/S 1658-2025 FSC-klagomål.docx", "S 1658-2025")</f>
        <v/>
      </c>
      <c r="Z26">
        <f>HYPERLINK("https://klasma.github.io/Logging_1487/klagomålsmail/S 1658-2025 FSC-klagomål mail.docx", "S 1658-2025")</f>
        <v/>
      </c>
      <c r="AA26">
        <f>HYPERLINK("https://klasma.github.io/Logging_1487/tillsyn/S 1658-2025 tillsynsbegäran.docx", "S 1658-2025")</f>
        <v/>
      </c>
      <c r="AB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46217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46217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46217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46217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46217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46217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46217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46217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46217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46217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46217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46217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46217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46217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46217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46217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46217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46217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46217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46217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46217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46217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46217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46217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46217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46217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46217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46217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46217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46217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33476-2022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44788</v>
      </c>
      <c r="E57" s="1" t="n">
        <v>46217</v>
      </c>
      <c r="F57" t="inlineStr">
        <is>
          <t>VÄSTRA GÖTALANDS LÄN</t>
        </is>
      </c>
      <c r="G57" t="inlineStr">
        <is>
          <t>VÄNERSBORG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17861-2024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46217</v>
      </c>
      <c r="F58" t="inlineStr">
        <is>
          <t>VÄSTRA GÖTALANDS LÄN</t>
        </is>
      </c>
      <c r="G58" t="inlineStr">
        <is>
          <t>VÄNERSBORG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24107-2024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45456</v>
      </c>
      <c r="E59" s="1" t="n">
        <v>46217</v>
      </c>
      <c r="F59" t="inlineStr">
        <is>
          <t>VÄSTRA GÖTALANDS LÄN</t>
        </is>
      </c>
      <c r="G59" t="inlineStr">
        <is>
          <t>VÄNERSBORG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14798-2024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45397</v>
      </c>
      <c r="E60" s="1" t="n">
        <v>46217</v>
      </c>
      <c r="F60" t="inlineStr">
        <is>
          <t>VÄSTRA GÖTALANDS LÄN</t>
        </is>
      </c>
      <c r="G60" t="inlineStr">
        <is>
          <t>VÄNERSBORG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  <c r="X60">
        <f>HYPERLINK("https://klasma.github.io/Logging_1487/knärot/A 14798-2024 karta knärot.png", "A 14798-2024")</f>
        <v/>
      </c>
      <c r="Y60">
        <f>HYPERLINK("https://klasma.github.io/Logging_1487/klagomål/A 14798-2024 FSC-klagomål.docx", "A 14798-2024")</f>
        <v/>
      </c>
      <c r="Z60">
        <f>HYPERLINK("https://klasma.github.io/Logging_1487/klagomålsmail/A 14798-2024 FSC-klagomål mail.docx", "A 14798-2024")</f>
        <v/>
      </c>
      <c r="AA60">
        <f>HYPERLINK("https://klasma.github.io/Logging_1487/tillsyn/A 14798-2024 tillsynsbegäran.docx", "A 14798-2024")</f>
        <v/>
      </c>
      <c r="AB60">
        <f>HYPERLINK("https://klasma.github.io/Logging_1487/tillsynsmail/A 14798-2024 tillsynsbegäran mail.docx", "A 14798-2024")</f>
        <v/>
      </c>
    </row>
    <row r="61" ht="15" customHeight="1">
      <c r="A61" t="inlineStr">
        <is>
          <t>A 12610-2024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45382</v>
      </c>
      <c r="E61" s="1" t="n">
        <v>46217</v>
      </c>
      <c r="F61" t="inlineStr">
        <is>
          <t>VÄSTRA GÖTALANDS LÄN</t>
        </is>
      </c>
      <c r="G61" t="inlineStr">
        <is>
          <t>VÄNERSBORG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45250</v>
      </c>
      <c r="E62" s="1" t="n">
        <v>46217</v>
      </c>
      <c r="F62" t="inlineStr">
        <is>
          <t>VÄSTRA GÖTALANDS LÄN</t>
        </is>
      </c>
      <c r="G62" t="inlineStr">
        <is>
          <t>VÄNERSBORG</t>
        </is>
      </c>
      <c r="I62" t="n">
        <v>19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43621-2021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44433</v>
      </c>
      <c r="E63" s="1" t="n">
        <v>46217</v>
      </c>
      <c r="F63" t="inlineStr">
        <is>
          <t>VÄSTRA GÖTALANDS LÄN</t>
        </is>
      </c>
      <c r="G63" t="inlineStr">
        <is>
          <t>VÄNERSBORG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46217</v>
      </c>
      <c r="F64" t="inlineStr">
        <is>
          <t>VÄSTRA GÖTALANDS LÄN</t>
        </is>
      </c>
      <c r="G64" t="inlineStr">
        <is>
          <t>VÄNERSBORG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46217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22402-2024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46217</v>
      </c>
      <c r="F66" t="inlineStr">
        <is>
          <t>VÄSTRA GÖTALANDS LÄN</t>
        </is>
      </c>
      <c r="G66" t="inlineStr">
        <is>
          <t>VÄNERSBORG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45294</v>
      </c>
      <c r="E67" s="1" t="n">
        <v>46217</v>
      </c>
      <c r="F67" t="inlineStr">
        <is>
          <t>VÄSTRA GÖTALANDS LÄN</t>
        </is>
      </c>
      <c r="G67" t="inlineStr">
        <is>
          <t>VÄNERSBORG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46217</v>
      </c>
      <c r="F68" t="inlineStr">
        <is>
          <t>VÄSTRA GÖTALANDS LÄN</t>
        </is>
      </c>
      <c r="G68" t="inlineStr">
        <is>
          <t>VÄNERSBORG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40223-2021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44419</v>
      </c>
      <c r="E69" s="1" t="n">
        <v>46217</v>
      </c>
      <c r="F69" t="inlineStr">
        <is>
          <t>VÄSTRA GÖTALANDS LÄN</t>
        </is>
      </c>
      <c r="G69" t="inlineStr">
        <is>
          <t>VÄNERSBORG</t>
        </is>
      </c>
      <c r="H69" t="inlineStr">
        <is>
          <t>Sveaskog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40226-2021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44419</v>
      </c>
      <c r="E70" s="1" t="n">
        <v>46217</v>
      </c>
      <c r="F70" t="inlineStr">
        <is>
          <t>VÄSTRA GÖTALANDS LÄN</t>
        </is>
      </c>
      <c r="G70" t="inlineStr">
        <is>
          <t>VÄNERSBORG</t>
        </is>
      </c>
      <c r="H70" t="inlineStr">
        <is>
          <t>Sveaskog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54006-2022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46217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58972-2024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45636</v>
      </c>
      <c r="E72" s="1" t="n">
        <v>46217</v>
      </c>
      <c r="F72" t="inlineStr">
        <is>
          <t>VÄSTRA GÖTALANDS LÄN</t>
        </is>
      </c>
      <c r="G72" t="inlineStr">
        <is>
          <t>VÄNERSBORG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61566-2024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45646</v>
      </c>
      <c r="E73" s="1" t="n">
        <v>46217</v>
      </c>
      <c r="F73" t="inlineStr">
        <is>
          <t>VÄSTRA GÖTALANDS LÄN</t>
        </is>
      </c>
      <c r="G73" t="inlineStr">
        <is>
          <t>VÄNERSBORG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14722-2023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45014</v>
      </c>
      <c r="E74" s="1" t="n">
        <v>46217</v>
      </c>
      <c r="F74" t="inlineStr">
        <is>
          <t>VÄSTRA GÖTALANDS LÄN</t>
        </is>
      </c>
      <c r="G74" t="inlineStr">
        <is>
          <t>VÄNERSBORG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45030</v>
      </c>
      <c r="E75" s="1" t="n">
        <v>46217</v>
      </c>
      <c r="F75" t="inlineStr">
        <is>
          <t>VÄSTRA GÖTALANDS LÄN</t>
        </is>
      </c>
      <c r="G75" t="inlineStr">
        <is>
          <t>VÄNERSBORG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10444-2022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46217</v>
      </c>
      <c r="F76" t="inlineStr">
        <is>
          <t>VÄSTRA GÖTALANDS LÄN</t>
        </is>
      </c>
      <c r="G76" t="inlineStr">
        <is>
          <t>VÄNERSBORG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43799-2024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45571</v>
      </c>
      <c r="E77" s="1" t="n">
        <v>46217</v>
      </c>
      <c r="F77" t="inlineStr">
        <is>
          <t>VÄSTRA GÖTALANDS LÄN</t>
        </is>
      </c>
      <c r="G77" t="inlineStr">
        <is>
          <t>VÄNERSBORG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42698-2024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45566</v>
      </c>
      <c r="E78" s="1" t="n">
        <v>46217</v>
      </c>
      <c r="F78" t="inlineStr">
        <is>
          <t>VÄSTRA GÖTALANDS LÄN</t>
        </is>
      </c>
      <c r="G78" t="inlineStr">
        <is>
          <t>VÄNERSBORG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49481-2023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46217</v>
      </c>
      <c r="F79" t="inlineStr">
        <is>
          <t>VÄSTRA GÖTALANDS LÄN</t>
        </is>
      </c>
      <c r="G79" t="inlineStr">
        <is>
          <t>VÄNERSBORG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46217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55618-2023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46217</v>
      </c>
      <c r="F81" t="inlineStr">
        <is>
          <t>VÄSTRA GÖTALANDS LÄN</t>
        </is>
      </c>
      <c r="G81" t="inlineStr">
        <is>
          <t>VÄNERSBORG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40939-2024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46217</v>
      </c>
      <c r="F82" t="inlineStr">
        <is>
          <t>VÄSTRA GÖTALANDS LÄN</t>
        </is>
      </c>
      <c r="G82" t="inlineStr">
        <is>
          <t>VÄNERSBORG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46217</v>
      </c>
      <c r="F83" t="inlineStr">
        <is>
          <t>VÄSTRA GÖTALANDS LÄN</t>
        </is>
      </c>
      <c r="G83" t="inlineStr">
        <is>
          <t>VÄNERSBORG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46217</v>
      </c>
      <c r="F84" t="inlineStr">
        <is>
          <t>VÄSTRA GÖTALANDS LÄN</t>
        </is>
      </c>
      <c r="G84" t="inlineStr">
        <is>
          <t>VÄNERSBORG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48161-2024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46217</v>
      </c>
      <c r="F85" t="inlineStr">
        <is>
          <t>VÄSTRA GÖTALANDS LÄN</t>
        </is>
      </c>
      <c r="G85" t="inlineStr">
        <is>
          <t>VÄNERSBORG</t>
        </is>
      </c>
      <c r="I85" t="n">
        <v>42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26025-2025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46217</v>
      </c>
      <c r="F86" t="inlineStr">
        <is>
          <t>VÄSTRA GÖTALANDS LÄN</t>
        </is>
      </c>
      <c r="G86" t="inlineStr">
        <is>
          <t>VÄNERSBORG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65120-2023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45287</v>
      </c>
      <c r="E87" s="1" t="n">
        <v>46217</v>
      </c>
      <c r="F87" t="inlineStr">
        <is>
          <t>VÄSTRA GÖTALANDS LÄN</t>
        </is>
      </c>
      <c r="G87" t="inlineStr">
        <is>
          <t>VÄNERSBORG</t>
        </is>
      </c>
      <c r="I87" t="n">
        <v>11.4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46217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31051-2022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44769</v>
      </c>
      <c r="E89" s="1" t="n">
        <v>46217</v>
      </c>
      <c r="F89" t="inlineStr">
        <is>
          <t>VÄSTRA GÖTALANDS LÄN</t>
        </is>
      </c>
      <c r="G89" t="inlineStr">
        <is>
          <t>VÄNERSBORG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38614-2025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46217</v>
      </c>
      <c r="F90" t="inlineStr">
        <is>
          <t>VÄSTRA GÖTALANDS LÄN</t>
        </is>
      </c>
      <c r="G90" t="inlineStr">
        <is>
          <t>VÄNERSBORG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46217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40538-2025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46217</v>
      </c>
      <c r="F92" t="inlineStr">
        <is>
          <t>VÄSTRA GÖTALANDS LÄN</t>
        </is>
      </c>
      <c r="G92" t="inlineStr">
        <is>
          <t>VÄNERSBORG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46217</v>
      </c>
      <c r="F93" t="inlineStr">
        <is>
          <t>VÄSTRA GÖTALANDS LÄN</t>
        </is>
      </c>
      <c r="G93" t="inlineStr">
        <is>
          <t>VÄNERSBORG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46217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46217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20584-2023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45057</v>
      </c>
      <c r="E96" s="1" t="n">
        <v>46217</v>
      </c>
      <c r="F96" t="inlineStr">
        <is>
          <t>VÄSTRA GÖTALANDS LÄN</t>
        </is>
      </c>
      <c r="G96" t="inlineStr">
        <is>
          <t>VÄNERSBORG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40844-2025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46217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59745-2024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45639</v>
      </c>
      <c r="E98" s="1" t="n">
        <v>46217</v>
      </c>
      <c r="F98" t="inlineStr">
        <is>
          <t>VÄSTRA GÖTALANDS LÄN</t>
        </is>
      </c>
      <c r="G98" t="inlineStr">
        <is>
          <t>VÄNERSBORG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41795-2025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46217</v>
      </c>
      <c r="F99" t="inlineStr">
        <is>
          <t>VÄSTRA GÖTALANDS LÄN</t>
        </is>
      </c>
      <c r="G99" t="inlineStr">
        <is>
          <t>VÄNERSBORG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2146-2025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46217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42566-2025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46217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24892-2025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46217</v>
      </c>
      <c r="F102" t="inlineStr">
        <is>
          <t>VÄSTRA GÖTALANDS LÄN</t>
        </is>
      </c>
      <c r="G102" t="inlineStr">
        <is>
          <t>VÄNERSBORG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46217</v>
      </c>
      <c r="F103" t="inlineStr">
        <is>
          <t>VÄSTRA GÖTALANDS LÄN</t>
        </is>
      </c>
      <c r="G103" t="inlineStr">
        <is>
          <t>VÄNERSBORG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46217</v>
      </c>
      <c r="F104" t="inlineStr">
        <is>
          <t>VÄSTRA GÖTALANDS LÄN</t>
        </is>
      </c>
      <c r="G104" t="inlineStr">
        <is>
          <t>VÄNERSBORG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46217</v>
      </c>
      <c r="F105" t="inlineStr">
        <is>
          <t>VÄSTRA GÖTALANDS LÄN</t>
        </is>
      </c>
      <c r="G105" t="inlineStr">
        <is>
          <t>VÄNERSBORG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44584-2025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46217</v>
      </c>
      <c r="F106" t="inlineStr">
        <is>
          <t>VÄSTRA GÖTALANDS LÄN</t>
        </is>
      </c>
      <c r="G106" t="inlineStr">
        <is>
          <t>VÄNERSBORG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45537-2025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46217</v>
      </c>
      <c r="F107" t="inlineStr">
        <is>
          <t>VÄSTRA GÖTALANDS LÄN</t>
        </is>
      </c>
      <c r="G107" t="inlineStr">
        <is>
          <t>VÄNERSBORG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46217</v>
      </c>
      <c r="F108" t="inlineStr">
        <is>
          <t>VÄSTRA GÖTALANDS LÄN</t>
        </is>
      </c>
      <c r="G108" t="inlineStr">
        <is>
          <t>VÄNERSBORG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28385-2022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44747</v>
      </c>
      <c r="E109" s="1" t="n">
        <v>46217</v>
      </c>
      <c r="F109" t="inlineStr">
        <is>
          <t>VÄSTRA GÖTALANDS LÄN</t>
        </is>
      </c>
      <c r="G109" t="inlineStr">
        <is>
          <t>VÄNERSBORG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47342-2025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46217</v>
      </c>
      <c r="F110" t="inlineStr">
        <is>
          <t>VÄSTRA GÖTALANDS LÄN</t>
        </is>
      </c>
      <c r="G110" t="inlineStr">
        <is>
          <t>VÄNERSBORG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46217</v>
      </c>
      <c r="F111" t="inlineStr">
        <is>
          <t>VÄSTRA GÖTALANDS LÄN</t>
        </is>
      </c>
      <c r="G111" t="inlineStr">
        <is>
          <t>VÄNERSBORG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27232-2024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45471</v>
      </c>
      <c r="E112" s="1" t="n">
        <v>46217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9732-2023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44978</v>
      </c>
      <c r="E113" s="1" t="n">
        <v>46217</v>
      </c>
      <c r="F113" t="inlineStr">
        <is>
          <t>VÄSTRA GÖTALANDS LÄN</t>
        </is>
      </c>
      <c r="G113" t="inlineStr">
        <is>
          <t>VÄNERSBORG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46217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49201-2025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46217</v>
      </c>
      <c r="F115" t="inlineStr">
        <is>
          <t>VÄSTRA GÖTALANDS LÄN</t>
        </is>
      </c>
      <c r="G115" t="inlineStr">
        <is>
          <t>VÄNERSBORG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46217</v>
      </c>
      <c r="F116" t="inlineStr">
        <is>
          <t>VÄSTRA GÖTALANDS LÄN</t>
        </is>
      </c>
      <c r="G116" t="inlineStr">
        <is>
          <t>VÄNERSBORG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18715-2023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45043</v>
      </c>
      <c r="E117" s="1" t="n">
        <v>46217</v>
      </c>
      <c r="F117" t="inlineStr">
        <is>
          <t>VÄSTRA GÖTALANDS LÄN</t>
        </is>
      </c>
      <c r="G117" t="inlineStr">
        <is>
          <t>VÄNERSBORG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45751</v>
      </c>
      <c r="E118" s="1" t="n">
        <v>46217</v>
      </c>
      <c r="F118" t="inlineStr">
        <is>
          <t>VÄSTRA GÖTALANDS LÄN</t>
        </is>
      </c>
      <c r="G118" t="inlineStr">
        <is>
          <t>VÄNERSBORG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12823-2022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44642</v>
      </c>
      <c r="E119" s="1" t="n">
        <v>46217</v>
      </c>
      <c r="F119" t="inlineStr">
        <is>
          <t>VÄSTRA GÖTALANDS LÄN</t>
        </is>
      </c>
      <c r="G119" t="inlineStr">
        <is>
          <t>VÄNERSBORG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57699-2023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46217</v>
      </c>
      <c r="F120" t="inlineStr">
        <is>
          <t>VÄSTRA GÖTALANDS LÄN</t>
        </is>
      </c>
      <c r="G120" t="inlineStr">
        <is>
          <t>VÄNERSBORG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27815-2024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45475</v>
      </c>
      <c r="E121" s="1" t="n">
        <v>46217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44714</v>
      </c>
      <c r="E122" s="1" t="n">
        <v>46217</v>
      </c>
      <c r="F122" t="inlineStr">
        <is>
          <t>VÄSTRA GÖTALANDS LÄN</t>
        </is>
      </c>
      <c r="G122" t="inlineStr">
        <is>
          <t>VÄNERSBORG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53296-2025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46217</v>
      </c>
      <c r="F123" t="inlineStr">
        <is>
          <t>VÄSTRA GÖTALANDS LÄN</t>
        </is>
      </c>
      <c r="G123" t="inlineStr">
        <is>
          <t>VÄNERSBORG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54244-2025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46217</v>
      </c>
      <c r="F124" t="inlineStr">
        <is>
          <t>VÄSTRA GÖTALANDS LÄN</t>
        </is>
      </c>
      <c r="G124" t="inlineStr">
        <is>
          <t>VÄNERSBORG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54467-2025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46217</v>
      </c>
      <c r="F125" t="inlineStr">
        <is>
          <t>VÄSTRA GÖTALANDS LÄN</t>
        </is>
      </c>
      <c r="G125" t="inlineStr">
        <is>
          <t>VÄNERSBORG</t>
        </is>
      </c>
      <c r="I125" t="n">
        <v>13.4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50884-2025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46217</v>
      </c>
      <c r="F126" t="inlineStr">
        <is>
          <t>VÄSTRA GÖTALANDS LÄN</t>
        </is>
      </c>
      <c r="G126" t="inlineStr">
        <is>
          <t>VÄNERSBORG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54863-2025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46217</v>
      </c>
      <c r="F127" t="inlineStr">
        <is>
          <t>VÄSTRA GÖTALANDS LÄN</t>
        </is>
      </c>
      <c r="G127" t="inlineStr">
        <is>
          <t>VÄNERSBORG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20714-2026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46217</v>
      </c>
      <c r="F128" t="inlineStr">
        <is>
          <t>VÄSTRA GÖTALANDS LÄN</t>
        </is>
      </c>
      <c r="G128" t="inlineStr">
        <is>
          <t>VÄNERSBORG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20793-2023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46217</v>
      </c>
      <c r="F129" t="inlineStr">
        <is>
          <t>VÄSTRA GÖTALANDS LÄN</t>
        </is>
      </c>
      <c r="G129" t="inlineStr">
        <is>
          <t>VÄNERSBORG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56261-2025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45974</v>
      </c>
      <c r="E130" s="1" t="n">
        <v>46217</v>
      </c>
      <c r="F130" t="inlineStr">
        <is>
          <t>VÄSTRA GÖTALANDS LÄN</t>
        </is>
      </c>
      <c r="G130" t="inlineStr">
        <is>
          <t>VÄNERSBORG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28263-2023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46217</v>
      </c>
      <c r="F131" t="inlineStr">
        <is>
          <t>VÄSTRA GÖTALANDS LÄN</t>
        </is>
      </c>
      <c r="G131" t="inlineStr">
        <is>
          <t>VÄNERSBORG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56922-2025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45978</v>
      </c>
      <c r="E132" s="1" t="n">
        <v>46217</v>
      </c>
      <c r="F132" t="inlineStr">
        <is>
          <t>VÄSTRA GÖTALANDS LÄN</t>
        </is>
      </c>
      <c r="G132" t="inlineStr">
        <is>
          <t>VÄNERSBORG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45978</v>
      </c>
      <c r="E133" s="1" t="n">
        <v>46217</v>
      </c>
      <c r="F133" t="inlineStr">
        <is>
          <t>VÄSTRA GÖTALANDS LÄN</t>
        </is>
      </c>
      <c r="G133" t="inlineStr">
        <is>
          <t>VÄNERSBORG</t>
        </is>
      </c>
      <c r="I133" t="n">
        <v>12.1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46217</v>
      </c>
      <c r="F134" t="inlineStr">
        <is>
          <t>VÄSTRA GÖTALANDS LÄN</t>
        </is>
      </c>
      <c r="G134" t="inlineStr">
        <is>
          <t>VÄNERSBORG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20864-2026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46142</v>
      </c>
      <c r="E135" s="1" t="n">
        <v>46217</v>
      </c>
      <c r="F135" t="inlineStr">
        <is>
          <t>VÄSTRA GÖTALANDS LÄN</t>
        </is>
      </c>
      <c r="G135" t="inlineStr">
        <is>
          <t>VÄNERSBORG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45337</v>
      </c>
      <c r="E136" s="1" t="n">
        <v>46217</v>
      </c>
      <c r="F136" t="inlineStr">
        <is>
          <t>VÄSTRA GÖTALANDS LÄN</t>
        </is>
      </c>
      <c r="G136" t="inlineStr">
        <is>
          <t>VÄNERSBORG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60325-2025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46217</v>
      </c>
      <c r="F137" t="inlineStr">
        <is>
          <t>VÄSTRA GÖTALANDS LÄN</t>
        </is>
      </c>
      <c r="G137" t="inlineStr">
        <is>
          <t>VÄNERSBORG</t>
        </is>
      </c>
      <c r="I137" t="n">
        <v>11.5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46217</v>
      </c>
      <c r="F138" t="inlineStr">
        <is>
          <t>VÄSTRA GÖTALANDS LÄN</t>
        </is>
      </c>
      <c r="G138" t="inlineStr">
        <is>
          <t>VÄNERSBORG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61825-2021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46217</v>
      </c>
      <c r="F139" t="inlineStr">
        <is>
          <t>VÄSTRA GÖTALANDS LÄN</t>
        </is>
      </c>
      <c r="G139" t="inlineStr">
        <is>
          <t>VÄNERSBORG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61826-2021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46217</v>
      </c>
      <c r="F140" t="inlineStr">
        <is>
          <t>VÄSTRA GÖTALANDS LÄN</t>
        </is>
      </c>
      <c r="G140" t="inlineStr">
        <is>
          <t>VÄNERSBORG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73226-2021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46217</v>
      </c>
      <c r="F141" t="inlineStr">
        <is>
          <t>VÄSTRA GÖTALANDS LÄN</t>
        </is>
      </c>
      <c r="G141" t="inlineStr">
        <is>
          <t>VÄNERSBORG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1749-2024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45307</v>
      </c>
      <c r="E142" s="1" t="n">
        <v>46217</v>
      </c>
      <c r="F142" t="inlineStr">
        <is>
          <t>VÄSTRA GÖTALANDS LÄN</t>
        </is>
      </c>
      <c r="G142" t="inlineStr">
        <is>
          <t>VÄNERSBORG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46217</v>
      </c>
      <c r="F143" t="inlineStr">
        <is>
          <t>VÄSTRA GÖTALANDS LÄN</t>
        </is>
      </c>
      <c r="G143" t="inlineStr">
        <is>
          <t>VÄNERSBORG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61120-2025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46217</v>
      </c>
      <c r="F144" t="inlineStr">
        <is>
          <t>VÄSTRA GÖTALANDS LÄN</t>
        </is>
      </c>
      <c r="G144" t="inlineStr">
        <is>
          <t>VÄNERSBORG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22353-2026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46217</v>
      </c>
      <c r="F145" t="inlineStr">
        <is>
          <t>VÄSTRA GÖTALANDS LÄN</t>
        </is>
      </c>
      <c r="G145" t="inlineStr">
        <is>
          <t>VÄNERSBORG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38360-2024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45545</v>
      </c>
      <c r="E146" s="1" t="n">
        <v>46217</v>
      </c>
      <c r="F146" t="inlineStr">
        <is>
          <t>VÄSTRA GÖTALANDS LÄN</t>
        </is>
      </c>
      <c r="G146" t="inlineStr">
        <is>
          <t>VÄNERSBORG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46217</v>
      </c>
      <c r="F147" t="inlineStr">
        <is>
          <t>VÄSTRA GÖTALANDS LÄN</t>
        </is>
      </c>
      <c r="G147" t="inlineStr">
        <is>
          <t>VÄNERSBORG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46320-2024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46217</v>
      </c>
      <c r="F148" t="inlineStr">
        <is>
          <t>VÄSTRA GÖTALANDS LÄN</t>
        </is>
      </c>
      <c r="G148" t="inlineStr">
        <is>
          <t>VÄNERSBORG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9169-2023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46217</v>
      </c>
      <c r="F149" t="inlineStr">
        <is>
          <t>VÄSTRA GÖTALANDS LÄN</t>
        </is>
      </c>
      <c r="G149" t="inlineStr">
        <is>
          <t>VÄNERSBORG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33912-2023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46217</v>
      </c>
      <c r="F150" t="inlineStr">
        <is>
          <t>VÄSTRA GÖTALANDS LÄN</t>
        </is>
      </c>
      <c r="G150" t="inlineStr">
        <is>
          <t>VÄNERSBORG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7640-2024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46217</v>
      </c>
      <c r="F151" t="inlineStr">
        <is>
          <t>VÄSTRA GÖTALANDS LÄN</t>
        </is>
      </c>
      <c r="G151" t="inlineStr">
        <is>
          <t>VÄNERSBORG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56734-2023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46217</v>
      </c>
      <c r="F152" t="inlineStr">
        <is>
          <t>VÄSTRA GÖTALANDS LÄN</t>
        </is>
      </c>
      <c r="G152" t="inlineStr">
        <is>
          <t>VÄNERSBORG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33942-2023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45134</v>
      </c>
      <c r="E153" s="1" t="n">
        <v>46217</v>
      </c>
      <c r="F153" t="inlineStr">
        <is>
          <t>VÄSTRA GÖTALANDS LÄN</t>
        </is>
      </c>
      <c r="G153" t="inlineStr">
        <is>
          <t>VÄNERSBORG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22350-2026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46217</v>
      </c>
      <c r="F154" t="inlineStr">
        <is>
          <t>VÄSTRA GÖTALANDS LÄN</t>
        </is>
      </c>
      <c r="G154" t="inlineStr">
        <is>
          <t>VÄNERSBORG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28420-2026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46217</v>
      </c>
      <c r="F155" t="inlineStr">
        <is>
          <t>VÄSTRA GÖTALANDS LÄN</t>
        </is>
      </c>
      <c r="G155" t="inlineStr">
        <is>
          <t>VÄNERSBORG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46024</v>
      </c>
      <c r="E156" s="1" t="n">
        <v>46217</v>
      </c>
      <c r="F156" t="inlineStr">
        <is>
          <t>VÄSTRA GÖTALANDS LÄN</t>
        </is>
      </c>
      <c r="G156" t="inlineStr">
        <is>
          <t>VÄNERSBORG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46217</v>
      </c>
      <c r="F157" t="inlineStr">
        <is>
          <t>VÄSTRA GÖTALANDS LÄN</t>
        </is>
      </c>
      <c r="G157" t="inlineStr">
        <is>
          <t>VÄNERSBORG</t>
        </is>
      </c>
      <c r="I157" t="n">
        <v>12.8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46217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27867-2025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46217</v>
      </c>
      <c r="F159" t="inlineStr">
        <is>
          <t>VÄSTRA GÖTALANDS LÄN</t>
        </is>
      </c>
      <c r="G159" t="inlineStr">
        <is>
          <t>VÄNERSBORG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1937-2026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46035</v>
      </c>
      <c r="E160" s="1" t="n">
        <v>46217</v>
      </c>
      <c r="F160" t="inlineStr">
        <is>
          <t>VÄSTRA GÖTALANDS LÄN</t>
        </is>
      </c>
      <c r="G160" t="inlineStr">
        <is>
          <t>VÄNERSBORG</t>
        </is>
      </c>
      <c r="H160" t="inlineStr">
        <is>
          <t>Kommuner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46217</v>
      </c>
      <c r="F161" t="inlineStr">
        <is>
          <t>VÄSTRA GÖTALANDS LÄN</t>
        </is>
      </c>
      <c r="G161" t="inlineStr">
        <is>
          <t>VÄNERSBORG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64606-2023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46217</v>
      </c>
      <c r="F162" t="inlineStr">
        <is>
          <t>VÄSTRA GÖTALANDS LÄN</t>
        </is>
      </c>
      <c r="G162" t="inlineStr">
        <is>
          <t>VÄNERSBORG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18997-2024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45427</v>
      </c>
      <c r="E163" s="1" t="n">
        <v>46217</v>
      </c>
      <c r="F163" t="inlineStr">
        <is>
          <t>VÄSTRA GÖTALANDS LÄN</t>
        </is>
      </c>
      <c r="G163" t="inlineStr">
        <is>
          <t>VÄNERSBORG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50939-2024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46217</v>
      </c>
      <c r="F164" t="inlineStr">
        <is>
          <t>VÄSTRA GÖTALANDS LÄN</t>
        </is>
      </c>
      <c r="G164" t="inlineStr">
        <is>
          <t>VÄNERSBORG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46217</v>
      </c>
      <c r="F165" t="inlineStr">
        <is>
          <t>VÄSTRA GÖTALANDS LÄN</t>
        </is>
      </c>
      <c r="G165" t="inlineStr">
        <is>
          <t>VÄNERSBORG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46217</v>
      </c>
      <c r="F166" t="inlineStr">
        <is>
          <t>VÄSTRA GÖTALANDS LÄN</t>
        </is>
      </c>
      <c r="G166" t="inlineStr">
        <is>
          <t>VÄNERSBORG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46217</v>
      </c>
      <c r="F167" t="inlineStr">
        <is>
          <t>VÄSTRA GÖTALANDS LÄN</t>
        </is>
      </c>
      <c r="G167" t="inlineStr">
        <is>
          <t>VÄNERSBORG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46217</v>
      </c>
      <c r="F168" t="inlineStr">
        <is>
          <t>VÄSTRA GÖTALANDS LÄN</t>
        </is>
      </c>
      <c r="G168" t="inlineStr">
        <is>
          <t>VÄNERSBORG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33915-2023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46217</v>
      </c>
      <c r="F169" t="inlineStr">
        <is>
          <t>VÄSTRA GÖTALANDS LÄN</t>
        </is>
      </c>
      <c r="G169" t="inlineStr">
        <is>
          <t>VÄNERSBORG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9289-2026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46070</v>
      </c>
      <c r="E170" s="1" t="n">
        <v>46217</v>
      </c>
      <c r="F170" t="inlineStr">
        <is>
          <t>VÄSTRA GÖTALANDS LÄN</t>
        </is>
      </c>
      <c r="G170" t="inlineStr">
        <is>
          <t>VÄNERSBORG</t>
        </is>
      </c>
      <c r="H170" t="inlineStr">
        <is>
          <t>Kommuner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43987-2022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44838</v>
      </c>
      <c r="E171" s="1" t="n">
        <v>46217</v>
      </c>
      <c r="F171" t="inlineStr">
        <is>
          <t>VÄSTRA GÖTALANDS LÄN</t>
        </is>
      </c>
      <c r="G171" t="inlineStr">
        <is>
          <t>VÄNERSBORG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17985-2022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44683</v>
      </c>
      <c r="E172" s="1" t="n">
        <v>46217</v>
      </c>
      <c r="F172" t="inlineStr">
        <is>
          <t>VÄSTRA GÖTALANDS LÄN</t>
        </is>
      </c>
      <c r="G172" t="inlineStr">
        <is>
          <t>VÄNERSBORG</t>
        </is>
      </c>
      <c r="I172" t="n">
        <v>10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29365-2026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46203</v>
      </c>
      <c r="E173" s="1" t="n">
        <v>46217</v>
      </c>
      <c r="F173" t="inlineStr">
        <is>
          <t>VÄSTRA GÖTALANDS LÄN</t>
        </is>
      </c>
      <c r="G173" t="inlineStr">
        <is>
          <t>VÄNERSBORG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23532-2026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46163</v>
      </c>
      <c r="E174" s="1" t="n">
        <v>46217</v>
      </c>
      <c r="F174" t="inlineStr">
        <is>
          <t>VÄSTRA GÖTALANDS LÄN</t>
        </is>
      </c>
      <c r="G174" t="inlineStr">
        <is>
          <t>VÄNERSBORG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56829-2023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45244</v>
      </c>
      <c r="E175" s="1" t="n">
        <v>46217</v>
      </c>
      <c r="F175" t="inlineStr">
        <is>
          <t>VÄSTRA GÖTALANDS LÄN</t>
        </is>
      </c>
      <c r="G175" t="inlineStr">
        <is>
          <t>VÄNERSBORG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43817-2023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46217</v>
      </c>
      <c r="F176" t="inlineStr">
        <is>
          <t>VÄSTRA GÖTALANDS LÄN</t>
        </is>
      </c>
      <c r="G176" t="inlineStr">
        <is>
          <t>VÄNERSBORG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8567-2026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46217</v>
      </c>
      <c r="F177" t="inlineStr">
        <is>
          <t>VÄSTRA GÖTALANDS LÄN</t>
        </is>
      </c>
      <c r="G177" t="inlineStr">
        <is>
          <t>VÄNERSBORG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13698-2024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46217</v>
      </c>
      <c r="F178" t="inlineStr">
        <is>
          <t>VÄSTRA GÖTALANDS LÄN</t>
        </is>
      </c>
      <c r="G178" t="inlineStr">
        <is>
          <t>VÄNERSBORG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23862-2022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46217</v>
      </c>
      <c r="F179" t="inlineStr">
        <is>
          <t>VÄSTRA GÖTALANDS LÄN</t>
        </is>
      </c>
      <c r="G179" t="inlineStr">
        <is>
          <t>VÄNERSBORG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40721-2022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44824</v>
      </c>
      <c r="E180" s="1" t="n">
        <v>46217</v>
      </c>
      <c r="F180" t="inlineStr">
        <is>
          <t>VÄSTRA GÖTALANDS LÄN</t>
        </is>
      </c>
      <c r="G180" t="inlineStr">
        <is>
          <t>VÄNERSBORG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13491-2026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46217</v>
      </c>
      <c r="F181" t="inlineStr">
        <is>
          <t>VÄSTRA GÖTALANDS LÄN</t>
        </is>
      </c>
      <c r="G181" t="inlineStr">
        <is>
          <t>VÄNERSBORG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59692-2023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45256</v>
      </c>
      <c r="E182" s="1" t="n">
        <v>46217</v>
      </c>
      <c r="F182" t="inlineStr">
        <is>
          <t>VÄSTRA GÖTALANDS LÄN</t>
        </is>
      </c>
      <c r="G182" t="inlineStr">
        <is>
          <t>VÄNERSBORG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7795-2023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44973</v>
      </c>
      <c r="E183" s="1" t="n">
        <v>46217</v>
      </c>
      <c r="F183" t="inlineStr">
        <is>
          <t>VÄSTRA GÖTALANDS LÄN</t>
        </is>
      </c>
      <c r="G183" t="inlineStr">
        <is>
          <t>VÄNERSBORG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14875-2026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46217</v>
      </c>
      <c r="F184" t="inlineStr">
        <is>
          <t>VÄSTRA GÖTALANDS LÄN</t>
        </is>
      </c>
      <c r="G184" t="inlineStr">
        <is>
          <t>VÄNERSBORG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14853-2026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46217</v>
      </c>
      <c r="F185" t="inlineStr">
        <is>
          <t>VÄSTRA GÖTALANDS LÄN</t>
        </is>
      </c>
      <c r="G185" t="inlineStr">
        <is>
          <t>VÄNERSBORG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14886-2026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46217</v>
      </c>
      <c r="F186" t="inlineStr">
        <is>
          <t>VÄSTRA GÖTALANDS LÄN</t>
        </is>
      </c>
      <c r="G186" t="inlineStr">
        <is>
          <t>VÄNERSBORG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62439-2025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46007</v>
      </c>
      <c r="E187" s="1" t="n">
        <v>46217</v>
      </c>
      <c r="F187" t="inlineStr">
        <is>
          <t>VÄSTRA GÖTALANDS LÄN</t>
        </is>
      </c>
      <c r="G187" t="inlineStr">
        <is>
          <t>VÄNERSBORG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14873-2026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46217</v>
      </c>
      <c r="F188" t="inlineStr">
        <is>
          <t>VÄSTRA GÖTALANDS LÄN</t>
        </is>
      </c>
      <c r="G188" t="inlineStr">
        <is>
          <t>VÄNERSBORG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30418-2026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46209</v>
      </c>
      <c r="E189" s="1" t="n">
        <v>46217</v>
      </c>
      <c r="F189" t="inlineStr">
        <is>
          <t>VÄSTRA GÖTALANDS LÄN</t>
        </is>
      </c>
      <c r="G189" t="inlineStr">
        <is>
          <t>VÄNERSBORG</t>
        </is>
      </c>
      <c r="I189" t="n">
        <v>8.800000000000001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16192-2026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46217</v>
      </c>
      <c r="F190" t="inlineStr">
        <is>
          <t>VÄSTRA GÖTALANDS LÄN</t>
        </is>
      </c>
      <c r="G190" t="inlineStr">
        <is>
          <t>VÄNERSBORG</t>
        </is>
      </c>
      <c r="H190" t="inlineStr">
        <is>
          <t>Kommuner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44852</v>
      </c>
      <c r="E191" s="1" t="n">
        <v>46217</v>
      </c>
      <c r="F191" t="inlineStr">
        <is>
          <t>VÄSTRA GÖTALANDS LÄN</t>
        </is>
      </c>
      <c r="G191" t="inlineStr">
        <is>
          <t>VÄNERSBORG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44583-2025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46217</v>
      </c>
      <c r="F192" t="inlineStr">
        <is>
          <t>VÄSTRA GÖTALANDS LÄN</t>
        </is>
      </c>
      <c r="G192" t="inlineStr">
        <is>
          <t>VÄNERSBORG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17270-2026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46217</v>
      </c>
      <c r="F193" t="inlineStr">
        <is>
          <t>VÄSTRA GÖTALANDS LÄN</t>
        </is>
      </c>
      <c r="G193" t="inlineStr">
        <is>
          <t>VÄNERSBORG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7420-2024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45345</v>
      </c>
      <c r="E194" s="1" t="n">
        <v>46217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17334-2026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46119</v>
      </c>
      <c r="E195" s="1" t="n">
        <v>46217</v>
      </c>
      <c r="F195" t="inlineStr">
        <is>
          <t>VÄSTRA GÖTALANDS LÄN</t>
        </is>
      </c>
      <c r="G195" t="inlineStr">
        <is>
          <t>VÄNERSBORG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46217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15107-2024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45399</v>
      </c>
      <c r="E197" s="1" t="n">
        <v>46217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32838-2022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46217</v>
      </c>
      <c r="F198" t="inlineStr">
        <is>
          <t>VÄSTRA GÖTALANDS LÄN</t>
        </is>
      </c>
      <c r="G198" t="inlineStr">
        <is>
          <t>VÄNERSBORG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18830-2026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46217</v>
      </c>
      <c r="F199" t="inlineStr">
        <is>
          <t>VÄSTRA GÖTALANDS LÄN</t>
        </is>
      </c>
      <c r="G199" t="inlineStr">
        <is>
          <t>VÄNERSBORG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46217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19051-2023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45047</v>
      </c>
      <c r="E201" s="1" t="n">
        <v>46217</v>
      </c>
      <c r="F201" t="inlineStr">
        <is>
          <t>VÄSTRA GÖTALANDS LÄN</t>
        </is>
      </c>
      <c r="G201" t="inlineStr">
        <is>
          <t>VÄNERSBORG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46217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63509-2023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45274</v>
      </c>
      <c r="E203" s="1" t="n">
        <v>46217</v>
      </c>
      <c r="F203" t="inlineStr">
        <is>
          <t>VÄSTRA GÖTALANDS LÄN</t>
        </is>
      </c>
      <c r="G203" t="inlineStr">
        <is>
          <t>VÄNERSBORG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24769-2026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46171</v>
      </c>
      <c r="E204" s="1" t="n">
        <v>46217</v>
      </c>
      <c r="F204" t="inlineStr">
        <is>
          <t>VÄSTRA GÖTALANDS LÄN</t>
        </is>
      </c>
      <c r="G204" t="inlineStr">
        <is>
          <t>VÄNERSBORG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46217</v>
      </c>
      <c r="F205" t="inlineStr">
        <is>
          <t>VÄSTRA GÖTALANDS LÄN</t>
        </is>
      </c>
      <c r="G205" t="inlineStr">
        <is>
          <t>VÄNERSBORG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20280-2023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45056</v>
      </c>
      <c r="E206" s="1" t="n">
        <v>46217</v>
      </c>
      <c r="F206" t="inlineStr">
        <is>
          <t>VÄSTRA GÖTALANDS LÄN</t>
        </is>
      </c>
      <c r="G206" t="inlineStr">
        <is>
          <t>VÄNERSBORG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46217</v>
      </c>
      <c r="F207" t="inlineStr">
        <is>
          <t>VÄSTRA GÖTALANDS LÄN</t>
        </is>
      </c>
      <c r="G207" t="inlineStr">
        <is>
          <t>VÄNERSBORG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46217</v>
      </c>
      <c r="F208" t="inlineStr">
        <is>
          <t>VÄSTRA GÖTALANDS LÄN</t>
        </is>
      </c>
      <c r="G208" t="inlineStr">
        <is>
          <t>VÄNERSBORG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48494-2024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45592</v>
      </c>
      <c r="E209" s="1" t="n">
        <v>46217</v>
      </c>
      <c r="F209" t="inlineStr">
        <is>
          <t>VÄSTRA GÖTALANDS LÄN</t>
        </is>
      </c>
      <c r="G209" t="inlineStr">
        <is>
          <t>VÄNERSBORG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46217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21140-2023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46217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46217</v>
      </c>
      <c r="F212" t="inlineStr">
        <is>
          <t>VÄSTRA GÖTALANDS LÄN</t>
        </is>
      </c>
      <c r="G212" t="inlineStr">
        <is>
          <t>VÄNERSBORG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17172-2023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46217</v>
      </c>
      <c r="F213" t="inlineStr">
        <is>
          <t>VÄSTRA GÖTALANDS LÄN</t>
        </is>
      </c>
      <c r="G213" t="inlineStr">
        <is>
          <t>VÄNERSBORG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32843-2022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46217</v>
      </c>
      <c r="F214" t="inlineStr">
        <is>
          <t>VÄSTRA GÖTALANDS LÄN</t>
        </is>
      </c>
      <c r="G214" t="inlineStr">
        <is>
          <t>VÄNERSBORG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28190-2022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46217</v>
      </c>
      <c r="F215" t="inlineStr">
        <is>
          <t>VÄSTRA GÖTALANDS LÄN</t>
        </is>
      </c>
      <c r="G215" t="inlineStr">
        <is>
          <t>VÄNERSBORG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12910-2023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45001</v>
      </c>
      <c r="E216" s="1" t="n">
        <v>46217</v>
      </c>
      <c r="F216" t="inlineStr">
        <is>
          <t>VÄSTRA GÖTALANDS LÄN</t>
        </is>
      </c>
      <c r="G216" t="inlineStr">
        <is>
          <t>VÄNERSBORG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46217</v>
      </c>
      <c r="F217" t="inlineStr">
        <is>
          <t>VÄSTRA GÖTALANDS LÄN</t>
        </is>
      </c>
      <c r="G217" t="inlineStr">
        <is>
          <t>VÄNERSBORG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46217</v>
      </c>
      <c r="F218" t="inlineStr">
        <is>
          <t>VÄSTRA GÖTALANDS LÄN</t>
        </is>
      </c>
      <c r="G218" t="inlineStr">
        <is>
          <t>VÄNERSBORG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18855-2025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46217</v>
      </c>
      <c r="F219" t="inlineStr">
        <is>
          <t>VÄSTRA GÖTALANDS LÄN</t>
        </is>
      </c>
      <c r="G219" t="inlineStr">
        <is>
          <t>VÄNERSBORG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15309-2022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44659</v>
      </c>
      <c r="E220" s="1" t="n">
        <v>46217</v>
      </c>
      <c r="F220" t="inlineStr">
        <is>
          <t>VÄSTRA GÖTALANDS LÄN</t>
        </is>
      </c>
      <c r="G220" t="inlineStr">
        <is>
          <t>VÄNERSBORG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11439-2022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46217</v>
      </c>
      <c r="F221" t="inlineStr">
        <is>
          <t>VÄSTRA GÖTALANDS LÄN</t>
        </is>
      </c>
      <c r="G221" t="inlineStr">
        <is>
          <t>VÄNERSBORG</t>
        </is>
      </c>
      <c r="I221" t="n">
        <v>10.6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33033-2024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45517</v>
      </c>
      <c r="E222" s="1" t="n">
        <v>46217</v>
      </c>
      <c r="F222" t="inlineStr">
        <is>
          <t>VÄSTRA GÖTALANDS LÄN</t>
        </is>
      </c>
      <c r="G222" t="inlineStr">
        <is>
          <t>VÄNERSBORG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49131-2024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46217</v>
      </c>
      <c r="F223" t="inlineStr">
        <is>
          <t>VÄSTRA GÖTALANDS LÄN</t>
        </is>
      </c>
      <c r="G223" t="inlineStr">
        <is>
          <t>VÄNERSBORG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61409-2022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44909</v>
      </c>
      <c r="E224" s="1" t="n">
        <v>46217</v>
      </c>
      <c r="F224" t="inlineStr">
        <is>
          <t>VÄSTRA GÖTALANDS LÄN</t>
        </is>
      </c>
      <c r="G224" t="inlineStr">
        <is>
          <t>VÄNERSBORG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48496-2024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45592</v>
      </c>
      <c r="E225" s="1" t="n">
        <v>46217</v>
      </c>
      <c r="F225" t="inlineStr">
        <is>
          <t>VÄSTRA GÖTALANDS LÄN</t>
        </is>
      </c>
      <c r="G225" t="inlineStr">
        <is>
          <t>VÄNERSBORG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56725-2023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45244</v>
      </c>
      <c r="E226" s="1" t="n">
        <v>46217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17871-2024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45419</v>
      </c>
      <c r="E227" s="1" t="n">
        <v>46217</v>
      </c>
      <c r="F227" t="inlineStr">
        <is>
          <t>VÄSTRA GÖTALANDS LÄN</t>
        </is>
      </c>
      <c r="G227" t="inlineStr">
        <is>
          <t>VÄNERSBORG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44929</v>
      </c>
      <c r="E228" s="1" t="n">
        <v>46217</v>
      </c>
      <c r="F228" t="inlineStr">
        <is>
          <t>VÄSTRA GÖTALANDS LÄN</t>
        </is>
      </c>
      <c r="G228" t="inlineStr">
        <is>
          <t>VÄNERSBORG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46217</v>
      </c>
      <c r="F229" t="inlineStr">
        <is>
          <t>VÄSTRA GÖTALANDS LÄN</t>
        </is>
      </c>
      <c r="G229" t="inlineStr">
        <is>
          <t>VÄNERSBORG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43798-2024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45571</v>
      </c>
      <c r="E230" s="1" t="n">
        <v>46217</v>
      </c>
      <c r="F230" t="inlineStr">
        <is>
          <t>VÄSTRA GÖTALANDS LÄN</t>
        </is>
      </c>
      <c r="G230" t="inlineStr">
        <is>
          <t>VÄNERSBORG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46217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17077-2023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46217</v>
      </c>
      <c r="F232" t="inlineStr">
        <is>
          <t>VÄSTRA GÖTALANDS LÄN</t>
        </is>
      </c>
      <c r="G232" t="inlineStr">
        <is>
          <t>VÄNERSBORG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22326-2025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45786</v>
      </c>
      <c r="E233" s="1" t="n">
        <v>46217</v>
      </c>
      <c r="F233" t="inlineStr">
        <is>
          <t>VÄSTRA GÖTALANDS LÄN</t>
        </is>
      </c>
      <c r="G233" t="inlineStr">
        <is>
          <t>VÄNERSBORG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10525-2025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46217</v>
      </c>
      <c r="F234" t="inlineStr">
        <is>
          <t>VÄSTRA GÖTALANDS LÄN</t>
        </is>
      </c>
      <c r="G234" t="inlineStr">
        <is>
          <t>VÄNERSBORG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42605-2024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45565</v>
      </c>
      <c r="E235" s="1" t="n">
        <v>46217</v>
      </c>
      <c r="F235" t="inlineStr">
        <is>
          <t>VÄSTRA GÖTALANDS LÄN</t>
        </is>
      </c>
      <c r="G235" t="inlineStr">
        <is>
          <t>VÄNERSBORG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13666-2025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45736</v>
      </c>
      <c r="E236" s="1" t="n">
        <v>46217</v>
      </c>
      <c r="F236" t="inlineStr">
        <is>
          <t>VÄSTRA GÖTALANDS LÄN</t>
        </is>
      </c>
      <c r="G236" t="inlineStr">
        <is>
          <t>VÄNERSBORG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13674-2025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46217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13196-2025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46217</v>
      </c>
      <c r="F238" t="inlineStr">
        <is>
          <t>VÄSTRA GÖTALANDS LÄN</t>
        </is>
      </c>
      <c r="G238" t="inlineStr">
        <is>
          <t>VÄNERSBORG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11883-2025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45728</v>
      </c>
      <c r="E239" s="1" t="n">
        <v>46217</v>
      </c>
      <c r="F239" t="inlineStr">
        <is>
          <t>VÄSTRA GÖTALANDS LÄN</t>
        </is>
      </c>
      <c r="G239" t="inlineStr">
        <is>
          <t>VÄNERSBORG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24549-2025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46217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24567-2025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46217</v>
      </c>
      <c r="F241" t="inlineStr">
        <is>
          <t>VÄSTRA GÖTALANDS LÄN</t>
        </is>
      </c>
      <c r="G241" t="inlineStr">
        <is>
          <t>VÄNERSBORG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24560-2025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46217</v>
      </c>
      <c r="F242" t="inlineStr">
        <is>
          <t>VÄSTRA GÖTALANDS LÄN</t>
        </is>
      </c>
      <c r="G242" t="inlineStr">
        <is>
          <t>VÄNERSBORG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46217</v>
      </c>
      <c r="F243" t="inlineStr">
        <is>
          <t>VÄSTRA GÖTALANDS LÄN</t>
        </is>
      </c>
      <c r="G243" t="inlineStr">
        <is>
          <t>VÄNERSBORG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46514-2024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46217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46521-2024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46217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48034-2024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46217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51480-2024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46217</v>
      </c>
      <c r="F247" t="inlineStr">
        <is>
          <t>VÄSTRA GÖTALANDS LÄN</t>
        </is>
      </c>
      <c r="G247" t="inlineStr">
        <is>
          <t>VÄNERSBORG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4736-2024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45328</v>
      </c>
      <c r="E248" s="1" t="n">
        <v>46217</v>
      </c>
      <c r="F248" t="inlineStr">
        <is>
          <t>VÄSTRA GÖTALANDS LÄN</t>
        </is>
      </c>
      <c r="G248" t="inlineStr">
        <is>
          <t>VÄNERSBORG</t>
        </is>
      </c>
      <c r="H248" t="inlineStr">
        <is>
          <t>Kommuner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46217</v>
      </c>
      <c r="F249" t="inlineStr">
        <is>
          <t>VÄSTRA GÖTALANDS LÄN</t>
        </is>
      </c>
      <c r="G249" t="inlineStr">
        <is>
          <t>VÄNERSBORG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46217</v>
      </c>
      <c r="F250" t="inlineStr">
        <is>
          <t>VÄSTRA GÖTALANDS LÄN</t>
        </is>
      </c>
      <c r="G250" t="inlineStr">
        <is>
          <t>VÄNERSBORG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29840-2025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46217</v>
      </c>
      <c r="F251" t="inlineStr">
        <is>
          <t>VÄSTRA GÖTALANDS LÄN</t>
        </is>
      </c>
      <c r="G251" t="inlineStr">
        <is>
          <t>VÄNERSBORG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7605-2022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46217</v>
      </c>
      <c r="F252" t="inlineStr">
        <is>
          <t>VÄSTRA GÖTALANDS LÄN</t>
        </is>
      </c>
      <c r="G252" t="inlineStr">
        <is>
          <t>VÄNERSBORG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15067-2025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46217</v>
      </c>
      <c r="F253" t="inlineStr">
        <is>
          <t>VÄSTRA GÖTALANDS LÄN</t>
        </is>
      </c>
      <c r="G253" t="inlineStr">
        <is>
          <t>VÄNERSBORG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15458-2025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46217</v>
      </c>
      <c r="F254" t="inlineStr">
        <is>
          <t>VÄSTRA GÖTALANDS LÄN</t>
        </is>
      </c>
      <c r="G254" t="inlineStr">
        <is>
          <t>VÄNERSBORG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46217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46217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46217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2026-07-14T09:02:08Z</dcterms:created>
  <dcterms:modified xmlns:dcterms="http://purl.org/dc/terms/" xmlns:xsi="http://www.w3.org/2001/XMLSchema-instance" xsi:type="dcterms:W3CDTF">2026-07-14T09:02:08Z</dcterms:modified>
</cp:coreProperties>
</file>