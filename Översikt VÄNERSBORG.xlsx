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46251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46251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46251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46251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46251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46251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46251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46251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46251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39899-2023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46251</v>
      </c>
      <c r="F17" t="inlineStr">
        <is>
          <t>VÄSTRA GÖTALANDS LÄN</t>
        </is>
      </c>
      <c r="G17" t="inlineStr">
        <is>
          <t>VÄNERSBORG</t>
        </is>
      </c>
      <c r="I17" t="n">
        <v>15.6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HYPERLINK("https://klasma.github.io/Logging_1487/artfynd/A 39899-2023 artfynd.xlsx", "A 39899-2023")</f>
        <v/>
      </c>
      <c r="X17">
        <f>HYPERLINK("https://klasma.github.io/Logging_1487/kartor/A 39899-2023 karta.png", "A 39899-2023")</f>
        <v/>
      </c>
      <c r="Y17">
        <f>HYPERLINK("https://klasma.github.io/Logging_1487/kartor_geotiff/A 39899-2023 georefererad karta.tif", "A 39899-2023")</f>
        <v/>
      </c>
      <c r="AA17">
        <f>HYPERLINK("https://klasma.github.io/Logging_1487/klagomål/A 39899-2023 FSC-klagomål.docx", "A 39899-2023")</f>
        <v/>
      </c>
      <c r="AB17">
        <f>HYPERLINK("https://klasma.github.io/Logging_1487/klagomålsmail/A 39899-2023 FSC-klagomål mail.docx", "A 39899-2023")</f>
        <v/>
      </c>
      <c r="AC17">
        <f>HYPERLINK("https://klasma.github.io/Logging_1487/tillsyn/A 39899-2023 tillsynsbegäran.docx", "A 39899-2023")</f>
        <v/>
      </c>
      <c r="AD17">
        <f>HYPERLINK("https://klasma.github.io/Logging_1487/tillsynsmail/A 39899-2023 tillsynsbegäran mail.docx", "A 39899-2023")</f>
        <v/>
      </c>
      <c r="AE17">
        <f>HYPERLINK("https://klasma.github.io/Logging_1487/fåglar/A 39899-2023 prioriterade fågelarter.docx", "A 39899-2023")</f>
        <v/>
      </c>
    </row>
    <row r="18" ht="15" customHeight="1">
      <c r="A18" t="inlineStr">
        <is>
          <t>A 56739-2023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45244</v>
      </c>
      <c r="E18" s="1" t="n">
        <v>46251</v>
      </c>
      <c r="F18" t="inlineStr">
        <is>
          <t>VÄSTRA GÖTALANDS LÄN</t>
        </is>
      </c>
      <c r="G18" t="inlineStr">
        <is>
          <t>VÄNERSBORG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HYPERLINK("https://klasma.github.io/Logging_1487/artfynd/A 56739-2023 artfynd.xlsx", "A 56739-2023")</f>
        <v/>
      </c>
      <c r="X18">
        <f>HYPERLINK("https://klasma.github.io/Logging_1487/kartor/A 56739-2023 karta.png", "A 56739-2023")</f>
        <v/>
      </c>
      <c r="Y18">
        <f>HYPERLINK("https://klasma.github.io/Logging_1487/kartor_geotiff/A 56739-2023 georefererad karta.tif", "A 56739-2023")</f>
        <v/>
      </c>
      <c r="AA18">
        <f>HYPERLINK("https://klasma.github.io/Logging_1487/klagomål/A 56739-2023 FSC-klagomål.docx", "A 56739-2023")</f>
        <v/>
      </c>
      <c r="AB18">
        <f>HYPERLINK("https://klasma.github.io/Logging_1487/klagomålsmail/A 56739-2023 FSC-klagomål mail.docx", "A 56739-2023")</f>
        <v/>
      </c>
      <c r="AC18">
        <f>HYPERLINK("https://klasma.github.io/Logging_1487/tillsyn/A 56739-2023 tillsynsbegäran.docx", "A 56739-2023")</f>
        <v/>
      </c>
      <c r="AD18">
        <f>HYPERLINK("https://klasma.github.io/Logging_1487/tillsynsmail/A 56739-2023 tillsynsbegäran mail.docx", "A 56739-2023")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46251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25575-2025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45803</v>
      </c>
      <c r="E20" s="1" t="n">
        <v>46251</v>
      </c>
      <c r="F20" t="inlineStr">
        <is>
          <t>VÄSTRA GÖTALANDS LÄN</t>
        </is>
      </c>
      <c r="G20" t="inlineStr">
        <is>
          <t>VÄNERSBORG</t>
        </is>
      </c>
      <c r="H20" t="inlineStr">
        <is>
          <t>Sveaskog</t>
        </is>
      </c>
      <c r="I20" t="n">
        <v>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Blåmossa</t>
        </is>
      </c>
      <c r="W20">
        <f>HYPERLINK("https://klasma.github.io/Logging_1487/artfynd/A 25575-2025 artfynd.xlsx", "A 25575-2025")</f>
        <v/>
      </c>
      <c r="X20">
        <f>HYPERLINK("https://klasma.github.io/Logging_1487/kartor/A 25575-2025 karta.png", "A 25575-2025")</f>
        <v/>
      </c>
      <c r="Y20">
        <f>HYPERLINK("https://klasma.github.io/Logging_1487/kartor_geotiff/A 25575-2025 georefererad karta.tif", "A 25575-2025")</f>
        <v/>
      </c>
      <c r="AA20">
        <f>HYPERLINK("https://klasma.github.io/Logging_1487/klagomål/A 25575-2025 FSC-klagomål.docx", "A 25575-2025")</f>
        <v/>
      </c>
      <c r="AB20">
        <f>HYPERLINK("https://klasma.github.io/Logging_1487/klagomålsmail/A 25575-2025 FSC-klagomål mail.docx", "A 25575-2025")</f>
        <v/>
      </c>
      <c r="AC20">
        <f>HYPERLINK("https://klasma.github.io/Logging_1487/tillsyn/A 25575-2025 tillsynsbegäran.docx", "A 25575-2025")</f>
        <v/>
      </c>
      <c r="AD20">
        <f>HYPERLINK("https://klasma.github.io/Logging_1487/tillsynsmail/A 25575-2025 tillsynsbegäran mail.docx", "A 25575-2025")</f>
        <v/>
      </c>
    </row>
    <row r="21" ht="15" customHeight="1">
      <c r="A21" t="inlineStr">
        <is>
          <t>A 11709-2024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45373</v>
      </c>
      <c r="E21" s="1" t="n">
        <v>46251</v>
      </c>
      <c r="F21" t="inlineStr">
        <is>
          <t>VÄSTRA GÖTALANDS LÄN</t>
        </is>
      </c>
      <c r="G21" t="inlineStr">
        <is>
          <t>VÄNERSBORG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Gullklöver</t>
        </is>
      </c>
      <c r="W21">
        <f>HYPERLINK("https://klasma.github.io/Logging_1487/artfynd/A 11709-2024 artfynd.xlsx", "A 11709-2024")</f>
        <v/>
      </c>
      <c r="X21">
        <f>HYPERLINK("https://klasma.github.io/Logging_1487/kartor/A 11709-2024 karta.png", "A 11709-2024")</f>
        <v/>
      </c>
      <c r="Y21">
        <f>HYPERLINK("https://klasma.github.io/Logging_1487/kartor_geotiff/A 11709-2024 georefererad karta.tif", "A 11709-2024")</f>
        <v/>
      </c>
      <c r="AA21">
        <f>HYPERLINK("https://klasma.github.io/Logging_1487/klagomål/A 11709-2024 FSC-klagomål.docx", "A 11709-2024")</f>
        <v/>
      </c>
      <c r="AB21">
        <f>HYPERLINK("https://klasma.github.io/Logging_1487/klagomålsmail/A 11709-2024 FSC-klagomål mail.docx", "A 11709-2024")</f>
        <v/>
      </c>
      <c r="AC21">
        <f>HYPERLINK("https://klasma.github.io/Logging_1487/tillsyn/A 11709-2024 tillsynsbegäran.docx", "A 11709-2024")</f>
        <v/>
      </c>
      <c r="AD21">
        <f>HYPERLINK("https://klasma.github.io/Logging_1487/tillsynsmail/A 11709-2024 tillsynsbegäran mail.docx", "A 11709-2024")</f>
        <v/>
      </c>
    </row>
    <row r="22" ht="15" customHeight="1">
      <c r="A22" t="inlineStr">
        <is>
          <t>A 10515-2025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45721</v>
      </c>
      <c r="E22" s="1" t="n">
        <v>46251</v>
      </c>
      <c r="F22" t="inlineStr">
        <is>
          <t>VÄSTRA GÖTALANDS LÄN</t>
        </is>
      </c>
      <c r="G22" t="inlineStr">
        <is>
          <t>VÄNERSBORG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Tibast</t>
        </is>
      </c>
      <c r="W22">
        <f>HYPERLINK("https://klasma.github.io/Logging_1487/artfynd/A 10515-2025 artfynd.xlsx", "A 10515-2025")</f>
        <v/>
      </c>
      <c r="X22">
        <f>HYPERLINK("https://klasma.github.io/Logging_1487/kartor/A 10515-2025 karta.png", "A 10515-2025")</f>
        <v/>
      </c>
      <c r="Y22">
        <f>HYPERLINK("https://klasma.github.io/Logging_1487/kartor_geotiff/A 10515-2025 georefererad karta.tif", "A 10515-2025")</f>
        <v/>
      </c>
      <c r="AA22">
        <f>HYPERLINK("https://klasma.github.io/Logging_1487/klagomål/A 10515-2025 FSC-klagomål.docx", "A 10515-2025")</f>
        <v/>
      </c>
      <c r="AB22">
        <f>HYPERLINK("https://klasma.github.io/Logging_1487/klagomålsmail/A 10515-2025 FSC-klagomål mail.docx", "A 10515-2025")</f>
        <v/>
      </c>
      <c r="AC22">
        <f>HYPERLINK("https://klasma.github.io/Logging_1487/tillsyn/A 10515-2025 tillsynsbegäran.docx", "A 10515-2025")</f>
        <v/>
      </c>
      <c r="AD22">
        <f>HYPERLINK("https://klasma.github.io/Logging_1487/tillsynsmail/A 10515-2025 tillsynsbegäran mail.docx", "A 10515-2025")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46251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46251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29346-2022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44753</v>
      </c>
      <c r="E26" s="1" t="n">
        <v>46251</v>
      </c>
      <c r="F26" t="inlineStr">
        <is>
          <t>VÄSTRA GÖTALANDS LÄN</t>
        </is>
      </c>
      <c r="G26" t="inlineStr">
        <is>
          <t>VÄNERSBORG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46251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46251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46251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46251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46251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46251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46251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46251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46251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46251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46251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46251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46251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46251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46251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46251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46251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46251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46251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46251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46251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46251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46251</v>
      </c>
      <c r="F49" t="inlineStr">
        <is>
          <t>VÄSTRA GÖTALANDS LÄN</t>
        </is>
      </c>
      <c r="G49" t="inlineStr">
        <is>
          <t>VÄNERSBORG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46251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46251</v>
      </c>
      <c r="F51" t="inlineStr">
        <is>
          <t>VÄSTRA GÖTALANDS LÄN</t>
        </is>
      </c>
      <c r="G51" t="inlineStr">
        <is>
          <t>VÄNERSBORG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46251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46251</v>
      </c>
      <c r="F53" t="inlineStr">
        <is>
          <t>VÄSTRA GÖTALANDS LÄN</t>
        </is>
      </c>
      <c r="G53" t="inlineStr">
        <is>
          <t>VÄNERSBORG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44579</v>
      </c>
      <c r="E54" s="1" t="n">
        <v>46251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46251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13923-2022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44650</v>
      </c>
      <c r="E56" s="1" t="n">
        <v>46251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Naturvårdsverket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24107-2024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45456</v>
      </c>
      <c r="E57" s="1" t="n">
        <v>46251</v>
      </c>
      <c r="F57" t="inlineStr">
        <is>
          <t>VÄSTRA GÖTALANDS LÄN</t>
        </is>
      </c>
      <c r="G57" t="inlineStr">
        <is>
          <t>VÄNERSBORG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46251</v>
      </c>
      <c r="F58" t="inlineStr">
        <is>
          <t>VÄSTRA GÖTALANDS LÄN</t>
        </is>
      </c>
      <c r="G58" t="inlineStr">
        <is>
          <t>VÄNERSBORG</t>
        </is>
      </c>
      <c r="H58" t="inlineStr">
        <is>
          <t>Sveaskog</t>
        </is>
      </c>
      <c r="I58" t="n">
        <v>12.5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46251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44824</v>
      </c>
      <c r="E60" s="1" t="n">
        <v>46251</v>
      </c>
      <c r="F60" t="inlineStr">
        <is>
          <t>VÄSTRA GÖTALANDS LÄN</t>
        </is>
      </c>
      <c r="G60" t="inlineStr">
        <is>
          <t>VÄNERSBORG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45397</v>
      </c>
      <c r="E61" s="1" t="n">
        <v>46251</v>
      </c>
      <c r="F61" t="inlineStr">
        <is>
          <t>VÄSTRA GÖTALANDS LÄN</t>
        </is>
      </c>
      <c r="G61" t="inlineStr">
        <is>
          <t>VÄNERSBORG</t>
        </is>
      </c>
      <c r="H61" t="inlineStr">
        <is>
          <t>Sveaskog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HYPERLINK("https://klasma.github.io/Logging_1487/knärot/A 14798-2024 karta knärot.png", "A 14798-2024")</f>
        <v/>
      </c>
      <c r="AA61">
        <f>HYPERLINK("https://klasma.github.io/Logging_1487/klagomål/A 14798-2024 FSC-klagomål.docx", "A 14798-2024")</f>
        <v/>
      </c>
      <c r="AB61">
        <f>HYPERLINK("https://klasma.github.io/Logging_1487/klagomålsmail/A 14798-2024 FSC-klagomål mail.docx", "A 14798-2024")</f>
        <v/>
      </c>
      <c r="AC61">
        <f>HYPERLINK("https://klasma.github.io/Logging_1487/tillsyn/A 14798-2024 tillsynsbegäran.docx", "A 14798-2024")</f>
        <v/>
      </c>
      <c r="AD61">
        <f>HYPERLINK("https://klasma.github.io/Logging_1487/tillsynsmail/A 14798-2024 tillsynsbegäran mail.docx", "A 14798-2024")</f>
        <v/>
      </c>
    </row>
    <row r="62" ht="15" customHeight="1">
      <c r="A62" t="inlineStr">
        <is>
          <t>A 12610-2024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45382</v>
      </c>
      <c r="E62" s="1" t="n">
        <v>46251</v>
      </c>
      <c r="F62" t="inlineStr">
        <is>
          <t>VÄSTRA GÖTALANDS LÄN</t>
        </is>
      </c>
      <c r="G62" t="inlineStr">
        <is>
          <t>VÄNERSBORG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58292-2023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46251</v>
      </c>
      <c r="F63" t="inlineStr">
        <is>
          <t>VÄSTRA GÖTALANDS LÄN</t>
        </is>
      </c>
      <c r="G63" t="inlineStr">
        <is>
          <t>VÄNERSBORG</t>
        </is>
      </c>
      <c r="I63" t="n">
        <v>19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44433</v>
      </c>
      <c r="E64" s="1" t="n">
        <v>46251</v>
      </c>
      <c r="F64" t="inlineStr">
        <is>
          <t>VÄSTRA GÖTALANDS LÄN</t>
        </is>
      </c>
      <c r="G64" t="inlineStr">
        <is>
          <t>VÄNERSBORG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46251</v>
      </c>
      <c r="F65" t="inlineStr">
        <is>
          <t>VÄSTRA GÖTALANDS LÄN</t>
        </is>
      </c>
      <c r="G65" t="inlineStr">
        <is>
          <t>VÄNERSBORG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46251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16551-2024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45408</v>
      </c>
      <c r="E67" s="1" t="n">
        <v>46251</v>
      </c>
      <c r="F67" t="inlineStr">
        <is>
          <t>VÄSTRA GÖTALANDS LÄN</t>
        </is>
      </c>
      <c r="G67" t="inlineStr">
        <is>
          <t>VÄNERSBORG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46251</v>
      </c>
      <c r="F68" t="inlineStr">
        <is>
          <t>VÄSTRA GÖTALANDS LÄN</t>
        </is>
      </c>
      <c r="G68" t="inlineStr">
        <is>
          <t>VÄNERSBORG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45256</v>
      </c>
      <c r="E69" s="1" t="n">
        <v>46251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46251</v>
      </c>
      <c r="F70" t="inlineStr">
        <is>
          <t>VÄSTRA GÖTALANDS LÄN</t>
        </is>
      </c>
      <c r="G70" t="inlineStr">
        <is>
          <t>VÄNERSBORG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46251</v>
      </c>
      <c r="F71" t="inlineStr">
        <is>
          <t>VÄSTRA GÖTALANDS LÄN</t>
        </is>
      </c>
      <c r="G71" t="inlineStr">
        <is>
          <t>VÄNERSBORG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44769</v>
      </c>
      <c r="E72" s="1" t="n">
        <v>46251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46251</v>
      </c>
      <c r="F73" t="inlineStr">
        <is>
          <t>VÄSTRA GÖTALANDS LÄN</t>
        </is>
      </c>
      <c r="G73" t="inlineStr">
        <is>
          <t>VÄNERSBORG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33476-2022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44788</v>
      </c>
      <c r="E74" s="1" t="n">
        <v>46251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46251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46251</v>
      </c>
      <c r="F76" t="inlineStr">
        <is>
          <t>VÄSTRA GÖTALANDS LÄN</t>
        </is>
      </c>
      <c r="G76" t="inlineStr">
        <is>
          <t>VÄNERSBORG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46251</v>
      </c>
      <c r="F77" t="inlineStr">
        <is>
          <t>VÄSTRA GÖTALANDS LÄN</t>
        </is>
      </c>
      <c r="G77" t="inlineStr">
        <is>
          <t>VÄNERSBORG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46251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46251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46251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46251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46251</v>
      </c>
      <c r="F82" t="inlineStr">
        <is>
          <t>VÄSTRA GÖTALANDS LÄN</t>
        </is>
      </c>
      <c r="G82" t="inlineStr">
        <is>
          <t>VÄNERSBORG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46251</v>
      </c>
      <c r="F83" t="inlineStr">
        <is>
          <t>VÄSTRA GÖTALANDS LÄN</t>
        </is>
      </c>
      <c r="G83" t="inlineStr">
        <is>
          <t>VÄNERSBORG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46251</v>
      </c>
      <c r="F84" t="inlineStr">
        <is>
          <t>VÄSTRA GÖTALANDS LÄN</t>
        </is>
      </c>
      <c r="G84" t="inlineStr">
        <is>
          <t>VÄNERSBORG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46251</v>
      </c>
      <c r="F85" t="inlineStr">
        <is>
          <t>VÄSTRA GÖTALANDS LÄN</t>
        </is>
      </c>
      <c r="G85" t="inlineStr">
        <is>
          <t>VÄNERSBORG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45917</v>
      </c>
      <c r="E86" s="1" t="n">
        <v>46251</v>
      </c>
      <c r="F86" t="inlineStr">
        <is>
          <t>VÄSTRA GÖTALANDS LÄN</t>
        </is>
      </c>
      <c r="G86" t="inlineStr">
        <is>
          <t>VÄNERSBORG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46251</v>
      </c>
      <c r="F87" t="inlineStr">
        <is>
          <t>VÄSTRA GÖTALANDS LÄN</t>
        </is>
      </c>
      <c r="G87" t="inlineStr">
        <is>
          <t>VÄNERSBORG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46251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46251</v>
      </c>
      <c r="F89" t="inlineStr">
        <is>
          <t>VÄSTRA GÖTALANDS LÄN</t>
        </is>
      </c>
      <c r="G89" t="inlineStr">
        <is>
          <t>VÄNERSBORG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46251</v>
      </c>
      <c r="F90" t="inlineStr">
        <is>
          <t>VÄSTRA GÖTALANDS LÄN</t>
        </is>
      </c>
      <c r="G90" t="inlineStr">
        <is>
          <t>VÄNERSBORG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46251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46251</v>
      </c>
      <c r="F92" t="inlineStr">
        <is>
          <t>VÄSTRA GÖTALANDS LÄN</t>
        </is>
      </c>
      <c r="G92" t="inlineStr">
        <is>
          <t>VÄNERSBORG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46065</v>
      </c>
      <c r="E93" s="1" t="n">
        <v>46251</v>
      </c>
      <c r="F93" t="inlineStr">
        <is>
          <t>VÄSTRA GÖTALANDS LÄN</t>
        </is>
      </c>
      <c r="G93" t="inlineStr">
        <is>
          <t>VÄNERSBORG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46251</v>
      </c>
      <c r="F94" t="inlineStr">
        <is>
          <t>VÄSTRA GÖTALANDS LÄN</t>
        </is>
      </c>
      <c r="G94" t="inlineStr">
        <is>
          <t>VÄNERSBORG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45471</v>
      </c>
      <c r="E95" s="1" t="n">
        <v>46251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46251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46251</v>
      </c>
      <c r="F97" t="inlineStr">
        <is>
          <t>VÄSTRA GÖTALANDS LÄN</t>
        </is>
      </c>
      <c r="G97" t="inlineStr">
        <is>
          <t>VÄNERSBORG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46251</v>
      </c>
      <c r="F98" t="inlineStr">
        <is>
          <t>VÄSTRA GÖTALANDS LÄN</t>
        </is>
      </c>
      <c r="G98" t="inlineStr">
        <is>
          <t>VÄNERSBORG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46251</v>
      </c>
      <c r="F99" t="inlineStr">
        <is>
          <t>VÄSTRA GÖTALANDS LÄN</t>
        </is>
      </c>
      <c r="G99" t="inlineStr">
        <is>
          <t>VÄNERSBORG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45345</v>
      </c>
      <c r="E100" s="1" t="n">
        <v>46251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46251</v>
      </c>
      <c r="F101" t="inlineStr">
        <is>
          <t>VÄSTRA GÖTALANDS LÄN</t>
        </is>
      </c>
      <c r="G101" t="inlineStr">
        <is>
          <t>VÄNERSBORG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45014</v>
      </c>
      <c r="E102" s="1" t="n">
        <v>46251</v>
      </c>
      <c r="F102" t="inlineStr">
        <is>
          <t>VÄSTRA GÖTALANDS LÄN</t>
        </is>
      </c>
      <c r="G102" t="inlineStr">
        <is>
          <t>VÄNERSBORG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46251</v>
      </c>
      <c r="F103" t="inlineStr">
        <is>
          <t>VÄSTRA GÖTALANDS LÄN</t>
        </is>
      </c>
      <c r="G103" t="inlineStr">
        <is>
          <t>VÄNERSBORG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15107-2024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45399</v>
      </c>
      <c r="E104" s="1" t="n">
        <v>46251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46251</v>
      </c>
      <c r="F105" t="inlineStr">
        <is>
          <t>VÄSTRA GÖTALANDS LÄN</t>
        </is>
      </c>
      <c r="G105" t="inlineStr">
        <is>
          <t>VÄNERSBORG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46251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46251</v>
      </c>
      <c r="F107" t="inlineStr">
        <is>
          <t>VÄSTRA GÖTALANDS LÄN</t>
        </is>
      </c>
      <c r="G107" t="inlineStr">
        <is>
          <t>VÄNERSBORG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46251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46251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46104</v>
      </c>
      <c r="E110" s="1" t="n">
        <v>46251</v>
      </c>
      <c r="F110" t="inlineStr">
        <is>
          <t>VÄSTRA GÖTALANDS LÄN</t>
        </is>
      </c>
      <c r="G110" t="inlineStr">
        <is>
          <t>VÄNERSBORG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42698-2024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45566</v>
      </c>
      <c r="E111" s="1" t="n">
        <v>46251</v>
      </c>
      <c r="F111" t="inlineStr">
        <is>
          <t>VÄSTRA GÖTALANDS LÄN</t>
        </is>
      </c>
      <c r="G111" t="inlineStr">
        <is>
          <t>VÄNERSBORG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46251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46251</v>
      </c>
      <c r="F113" t="inlineStr">
        <is>
          <t>VÄSTRA GÖTALANDS LÄN</t>
        </is>
      </c>
      <c r="G113" t="inlineStr">
        <is>
          <t>VÄNERSBORG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46251</v>
      </c>
      <c r="F114" t="inlineStr">
        <is>
          <t>VÄSTRA GÖTALANDS LÄN</t>
        </is>
      </c>
      <c r="G114" t="inlineStr">
        <is>
          <t>VÄNERSBORG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46251</v>
      </c>
      <c r="F115" t="inlineStr">
        <is>
          <t>VÄSTRA GÖTALANDS LÄN</t>
        </is>
      </c>
      <c r="G115" t="inlineStr">
        <is>
          <t>VÄNERSBORG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46251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44930</v>
      </c>
      <c r="E117" s="1" t="n">
        <v>46251</v>
      </c>
      <c r="F117" t="inlineStr">
        <is>
          <t>VÄSTRA GÖTALANDS LÄN</t>
        </is>
      </c>
      <c r="G117" t="inlineStr">
        <is>
          <t>VÄNERSBORG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46251</v>
      </c>
      <c r="F118" t="inlineStr">
        <is>
          <t>VÄSTRA GÖTALANDS LÄN</t>
        </is>
      </c>
      <c r="G118" t="inlineStr">
        <is>
          <t>VÄNERSBORG</t>
        </is>
      </c>
      <c r="I118" t="n">
        <v>13.4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45047</v>
      </c>
      <c r="E119" s="1" t="n">
        <v>46251</v>
      </c>
      <c r="F119" t="inlineStr">
        <is>
          <t>VÄSTRA GÖTALANDS LÄN</t>
        </is>
      </c>
      <c r="G119" t="inlineStr">
        <is>
          <t>VÄNERSBORG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46251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46251</v>
      </c>
      <c r="F121" t="inlineStr">
        <is>
          <t>VÄSTRA GÖTALANDS LÄN</t>
        </is>
      </c>
      <c r="G121" t="inlineStr">
        <is>
          <t>VÄNERSBORG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46251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46251</v>
      </c>
      <c r="F123" t="inlineStr">
        <is>
          <t>VÄSTRA GÖTALANDS LÄN</t>
        </is>
      </c>
      <c r="G123" t="inlineStr">
        <is>
          <t>VÄNERSBORG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46251</v>
      </c>
      <c r="F124" t="inlineStr">
        <is>
          <t>VÄSTRA GÖTALANDS LÄN</t>
        </is>
      </c>
      <c r="G124" t="inlineStr">
        <is>
          <t>VÄNERSBORG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46251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45399</v>
      </c>
      <c r="E126" s="1" t="n">
        <v>46251</v>
      </c>
      <c r="F126" t="inlineStr">
        <is>
          <t>VÄSTRA GÖTALANDS LÄN</t>
        </is>
      </c>
      <c r="G126" t="inlineStr">
        <is>
          <t>VÄNERSBORG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46251</v>
      </c>
      <c r="F127" t="inlineStr">
        <is>
          <t>VÄSTRA GÖTALANDS LÄN</t>
        </is>
      </c>
      <c r="G127" t="inlineStr">
        <is>
          <t>VÄNERSBORG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46251</v>
      </c>
      <c r="F128" t="inlineStr">
        <is>
          <t>VÄSTRA GÖTALANDS LÄN</t>
        </is>
      </c>
      <c r="G128" t="inlineStr">
        <is>
          <t>VÄNERSBORG</t>
        </is>
      </c>
      <c r="I128" t="n">
        <v>42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46251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56261-2025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46251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46251</v>
      </c>
      <c r="F131" t="inlineStr">
        <is>
          <t>VÄSTRA GÖTALANDS LÄN</t>
        </is>
      </c>
      <c r="G131" t="inlineStr">
        <is>
          <t>VÄNERSBORG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46251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46251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46251</v>
      </c>
      <c r="F134" t="inlineStr">
        <is>
          <t>VÄSTRA GÖTALANDS LÄN</t>
        </is>
      </c>
      <c r="G134" t="inlineStr">
        <is>
          <t>VÄNERSBORG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46251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46251</v>
      </c>
      <c r="F136" t="inlineStr">
        <is>
          <t>VÄSTRA GÖTALANDS LÄN</t>
        </is>
      </c>
      <c r="G136" t="inlineStr">
        <is>
          <t>VÄNERSBORG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46251</v>
      </c>
      <c r="F137" t="inlineStr">
        <is>
          <t>VÄSTRA GÖTALANDS LÄN</t>
        </is>
      </c>
      <c r="G137" t="inlineStr">
        <is>
          <t>VÄNERSBORG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46251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46251</v>
      </c>
      <c r="F139" t="inlineStr">
        <is>
          <t>VÄSTRA GÖTALANDS LÄN</t>
        </is>
      </c>
      <c r="G139" t="inlineStr">
        <is>
          <t>VÄNERSBORG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46251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45057</v>
      </c>
      <c r="E141" s="1" t="n">
        <v>46251</v>
      </c>
      <c r="F141" t="inlineStr">
        <is>
          <t>VÄSTRA GÖTALANDS LÄN</t>
        </is>
      </c>
      <c r="G141" t="inlineStr">
        <is>
          <t>VÄNERSBORG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46251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46251</v>
      </c>
      <c r="F143" t="inlineStr">
        <is>
          <t>VÄSTRA GÖTALANDS LÄN</t>
        </is>
      </c>
      <c r="G143" t="inlineStr">
        <is>
          <t>VÄNERSBORG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46251</v>
      </c>
      <c r="F144" t="inlineStr">
        <is>
          <t>VÄSTRA GÖTALANDS LÄN</t>
        </is>
      </c>
      <c r="G144" t="inlineStr">
        <is>
          <t>VÄNERSBORG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46251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45592</v>
      </c>
      <c r="E146" s="1" t="n">
        <v>46251</v>
      </c>
      <c r="F146" t="inlineStr">
        <is>
          <t>VÄSTRA GÖTALANDS LÄN</t>
        </is>
      </c>
      <c r="G146" t="inlineStr">
        <is>
          <t>VÄNERSBORG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46251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46251</v>
      </c>
      <c r="F148" t="inlineStr">
        <is>
          <t>VÄSTRA GÖTALANDS LÄN</t>
        </is>
      </c>
      <c r="G148" t="inlineStr">
        <is>
          <t>VÄNERSBORG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46251</v>
      </c>
      <c r="F149" t="inlineStr">
        <is>
          <t>VÄSTRA GÖTALANDS LÄN</t>
        </is>
      </c>
      <c r="G149" t="inlineStr">
        <is>
          <t>VÄNERSBORG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46251</v>
      </c>
      <c r="F150" t="inlineStr">
        <is>
          <t>VÄSTRA GÖTALANDS LÄN</t>
        </is>
      </c>
      <c r="G150" t="inlineStr">
        <is>
          <t>VÄNERSBORG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46251</v>
      </c>
      <c r="F151" t="inlineStr">
        <is>
          <t>VÄSTRA GÖTALANDS LÄN</t>
        </is>
      </c>
      <c r="G151" t="inlineStr">
        <is>
          <t>VÄNERSBORG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46251</v>
      </c>
      <c r="F152" t="inlineStr">
        <is>
          <t>VÄSTRA GÖTALANDS LÄN</t>
        </is>
      </c>
      <c r="G152" t="inlineStr">
        <is>
          <t>VÄNERSBORG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46251</v>
      </c>
      <c r="F153" t="inlineStr">
        <is>
          <t>VÄSTRA GÖTALANDS LÄN</t>
        </is>
      </c>
      <c r="G153" t="inlineStr">
        <is>
          <t>VÄNERSBORG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46251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45034</v>
      </c>
      <c r="E155" s="1" t="n">
        <v>46251</v>
      </c>
      <c r="F155" t="inlineStr">
        <is>
          <t>VÄSTRA GÖTALANDS LÄN</t>
        </is>
      </c>
      <c r="G155" t="inlineStr">
        <is>
          <t>VÄNERSBORG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46251</v>
      </c>
      <c r="F156" t="inlineStr">
        <is>
          <t>VÄSTRA GÖTALANDS LÄN</t>
        </is>
      </c>
      <c r="G156" t="inlineStr">
        <is>
          <t>VÄNERSBORG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46251</v>
      </c>
      <c r="F157" t="inlineStr">
        <is>
          <t>VÄSTRA GÖTALANDS LÄN</t>
        </is>
      </c>
      <c r="G157" t="inlineStr">
        <is>
          <t>VÄNERSBORG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46251</v>
      </c>
      <c r="F158" t="inlineStr">
        <is>
          <t>VÄSTRA GÖTALANDS LÄN</t>
        </is>
      </c>
      <c r="G158" t="inlineStr">
        <is>
          <t>VÄNERSBORG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46251</v>
      </c>
      <c r="F159" t="inlineStr">
        <is>
          <t>VÄSTRA GÖTALANDS LÄN</t>
        </is>
      </c>
      <c r="G159" t="inlineStr">
        <is>
          <t>VÄNERSBORG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46251</v>
      </c>
      <c r="F160" t="inlineStr">
        <is>
          <t>VÄSTRA GÖTALANDS LÄN</t>
        </is>
      </c>
      <c r="G160" t="inlineStr">
        <is>
          <t>VÄNERSBORG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46251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46251</v>
      </c>
      <c r="F162" t="inlineStr">
        <is>
          <t>VÄSTRA GÖTALANDS LÄN</t>
        </is>
      </c>
      <c r="G162" t="inlineStr">
        <is>
          <t>VÄNERSBORG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46251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46251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46251</v>
      </c>
      <c r="F165" t="inlineStr">
        <is>
          <t>VÄSTRA GÖTALANDS LÄN</t>
        </is>
      </c>
      <c r="G165" t="inlineStr">
        <is>
          <t>VÄNERSBORG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15309-2022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44659</v>
      </c>
      <c r="E166" s="1" t="n">
        <v>46251</v>
      </c>
      <c r="F166" t="inlineStr">
        <is>
          <t>VÄSTRA GÖTALANDS LÄN</t>
        </is>
      </c>
      <c r="G166" t="inlineStr">
        <is>
          <t>VÄNERSBORG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46251</v>
      </c>
      <c r="F167" t="inlineStr">
        <is>
          <t>VÄSTRA GÖTALANDS LÄN</t>
        </is>
      </c>
      <c r="G167" t="inlineStr">
        <is>
          <t>VÄNERSBORG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46251</v>
      </c>
      <c r="F168" t="inlineStr">
        <is>
          <t>VÄSTRA GÖTALANDS LÄN</t>
        </is>
      </c>
      <c r="G168" t="inlineStr">
        <is>
          <t>VÄNERSBORG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46251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46251</v>
      </c>
      <c r="F170" t="inlineStr">
        <is>
          <t>VÄSTRA GÖTALANDS LÄN</t>
        </is>
      </c>
      <c r="G170" t="inlineStr">
        <is>
          <t>VÄNERSBORG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46251</v>
      </c>
      <c r="F171" t="inlineStr">
        <is>
          <t>VÄSTRA GÖTALANDS LÄN</t>
        </is>
      </c>
      <c r="G171" t="inlineStr">
        <is>
          <t>VÄNERSBORG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46251</v>
      </c>
      <c r="F172" t="inlineStr">
        <is>
          <t>VÄSTRA GÖTALANDS LÄN</t>
        </is>
      </c>
      <c r="G172" t="inlineStr">
        <is>
          <t>VÄNERSBORG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46251</v>
      </c>
      <c r="F173" t="inlineStr">
        <is>
          <t>VÄSTRA GÖTALANDS LÄN</t>
        </is>
      </c>
      <c r="G173" t="inlineStr">
        <is>
          <t>VÄNERSBORG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46251</v>
      </c>
      <c r="F174" t="inlineStr">
        <is>
          <t>VÄSTRA GÖTALANDS LÄN</t>
        </is>
      </c>
      <c r="G174" t="inlineStr">
        <is>
          <t>VÄNERSBORG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46251</v>
      </c>
      <c r="F175" t="inlineStr">
        <is>
          <t>VÄSTRA GÖTALANDS LÄN</t>
        </is>
      </c>
      <c r="G175" t="inlineStr">
        <is>
          <t>VÄNERSBORG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46251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46251</v>
      </c>
      <c r="F177" t="inlineStr">
        <is>
          <t>VÄSTRA GÖTALANDS LÄN</t>
        </is>
      </c>
      <c r="G177" t="inlineStr">
        <is>
          <t>VÄNERSBORG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46251</v>
      </c>
      <c r="F178" t="inlineStr">
        <is>
          <t>VÄSTRA GÖTALANDS LÄN</t>
        </is>
      </c>
      <c r="G178" t="inlineStr">
        <is>
          <t>VÄNERSBORG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46251</v>
      </c>
      <c r="F179" t="inlineStr">
        <is>
          <t>VÄSTRA GÖTALANDS LÄN</t>
        </is>
      </c>
      <c r="G179" t="inlineStr">
        <is>
          <t>VÄNERSBORG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9289-2026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46070</v>
      </c>
      <c r="E180" s="1" t="n">
        <v>46251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Kommuner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45592</v>
      </c>
      <c r="E181" s="1" t="n">
        <v>46251</v>
      </c>
      <c r="F181" t="inlineStr">
        <is>
          <t>VÄSTRA GÖTALANDS LÄN</t>
        </is>
      </c>
      <c r="G181" t="inlineStr">
        <is>
          <t>VÄNERSBORG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46251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46251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46251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17871-2024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45419</v>
      </c>
      <c r="E185" s="1" t="n">
        <v>46251</v>
      </c>
      <c r="F185" t="inlineStr">
        <is>
          <t>VÄSTRA GÖTALANDS LÄN</t>
        </is>
      </c>
      <c r="G185" t="inlineStr">
        <is>
          <t>VÄNERSBORG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46251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46251</v>
      </c>
      <c r="F187" t="inlineStr">
        <is>
          <t>VÄSTRA GÖTALANDS LÄN</t>
        </is>
      </c>
      <c r="G187" t="inlineStr">
        <is>
          <t>VÄNERSBORG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46251</v>
      </c>
      <c r="F188" t="inlineStr">
        <is>
          <t>VÄSTRA GÖTALANDS LÄN</t>
        </is>
      </c>
      <c r="G188" t="inlineStr">
        <is>
          <t>VÄNERSBORG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28263-2023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45099</v>
      </c>
      <c r="E189" s="1" t="n">
        <v>46251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46251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46251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46251</v>
      </c>
      <c r="F192" t="inlineStr">
        <is>
          <t>VÄSTRA GÖTALANDS LÄN</t>
        </is>
      </c>
      <c r="G192" t="inlineStr">
        <is>
          <t>VÄNERSBORG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46251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45571</v>
      </c>
      <c r="E194" s="1" t="n">
        <v>46251</v>
      </c>
      <c r="F194" t="inlineStr">
        <is>
          <t>VÄSTRA GÖTALANDS LÄN</t>
        </is>
      </c>
      <c r="G194" t="inlineStr">
        <is>
          <t>VÄNERSBORG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46251</v>
      </c>
      <c r="F195" t="inlineStr">
        <is>
          <t>VÄSTRA GÖTALANDS LÄN</t>
        </is>
      </c>
      <c r="G195" t="inlineStr">
        <is>
          <t>VÄNERSBORG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46251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46251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46035</v>
      </c>
      <c r="E198" s="1" t="n">
        <v>46251</v>
      </c>
      <c r="F198" t="inlineStr">
        <is>
          <t>VÄSTRA GÖTALANDS LÄN</t>
        </is>
      </c>
      <c r="G198" t="inlineStr">
        <is>
          <t>VÄNERSBORG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46251</v>
      </c>
      <c r="F199" t="inlineStr">
        <is>
          <t>VÄSTRA GÖTALANDS LÄN</t>
        </is>
      </c>
      <c r="G199" t="inlineStr">
        <is>
          <t>VÄNERSBORG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46251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46251</v>
      </c>
      <c r="F201" t="inlineStr">
        <is>
          <t>VÄSTRA GÖTALANDS LÄN</t>
        </is>
      </c>
      <c r="G201" t="inlineStr">
        <is>
          <t>VÄNERSBORG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46251</v>
      </c>
      <c r="F202" t="inlineStr">
        <is>
          <t>VÄSTRA GÖTALANDS LÄN</t>
        </is>
      </c>
      <c r="G202" t="inlineStr">
        <is>
          <t>VÄNERSBORG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46251</v>
      </c>
      <c r="F203" t="inlineStr">
        <is>
          <t>VÄSTRA GÖTALANDS LÄN</t>
        </is>
      </c>
      <c r="G203" t="inlineStr">
        <is>
          <t>VÄNERSBORG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45307</v>
      </c>
      <c r="E204" s="1" t="n">
        <v>46251</v>
      </c>
      <c r="F204" t="inlineStr">
        <is>
          <t>VÄSTRA GÖTALANDS LÄN</t>
        </is>
      </c>
      <c r="G204" t="inlineStr">
        <is>
          <t>VÄNERSBORG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46251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46251</v>
      </c>
      <c r="F206" t="inlineStr">
        <is>
          <t>VÄSTRA GÖTALANDS LÄN</t>
        </is>
      </c>
      <c r="G206" t="inlineStr">
        <is>
          <t>VÄNERSBORG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46251</v>
      </c>
      <c r="F207" t="inlineStr">
        <is>
          <t>VÄSTRA GÖTALANDS LÄN</t>
        </is>
      </c>
      <c r="G207" t="inlineStr">
        <is>
          <t>VÄNERSBORG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46251</v>
      </c>
      <c r="F208" t="inlineStr">
        <is>
          <t>VÄSTRA GÖTALANDS LÄN</t>
        </is>
      </c>
      <c r="G208" t="inlineStr">
        <is>
          <t>VÄNERSBORG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46251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46251</v>
      </c>
      <c r="F210" t="inlineStr">
        <is>
          <t>VÄSTRA GÖTALANDS LÄN</t>
        </is>
      </c>
      <c r="G210" t="inlineStr">
        <is>
          <t>VÄNERSBORG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46251</v>
      </c>
      <c r="F211" t="inlineStr">
        <is>
          <t>VÄSTRA GÖTALANDS LÄN</t>
        </is>
      </c>
      <c r="G211" t="inlineStr">
        <is>
          <t>VÄNERSBORG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46251</v>
      </c>
      <c r="F212" t="inlineStr">
        <is>
          <t>VÄSTRA GÖTALANDS LÄN</t>
        </is>
      </c>
      <c r="G212" t="inlineStr">
        <is>
          <t>VÄNERSBORG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46251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46251</v>
      </c>
      <c r="F214" t="inlineStr">
        <is>
          <t>VÄSTRA GÖTALANDS LÄN</t>
        </is>
      </c>
      <c r="G214" t="inlineStr">
        <is>
          <t>VÄNERSBORG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46251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46251</v>
      </c>
      <c r="F216" t="inlineStr">
        <is>
          <t>VÄSTRA GÖTALANDS LÄN</t>
        </is>
      </c>
      <c r="G216" t="inlineStr">
        <is>
          <t>VÄNERSBORG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46251</v>
      </c>
      <c r="F217" t="inlineStr">
        <is>
          <t>VÄSTRA GÖTALANDS LÄN</t>
        </is>
      </c>
      <c r="G217" t="inlineStr">
        <is>
          <t>VÄNERSBORG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46251</v>
      </c>
      <c r="F218" t="inlineStr">
        <is>
          <t>VÄSTRA GÖTALANDS LÄN</t>
        </is>
      </c>
      <c r="G218" t="inlineStr">
        <is>
          <t>VÄNERSBORG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46251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46251</v>
      </c>
      <c r="F220" t="inlineStr">
        <is>
          <t>VÄSTRA GÖTALANDS LÄN</t>
        </is>
      </c>
      <c r="G220" t="inlineStr">
        <is>
          <t>VÄNERSBORG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13666-2025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45736</v>
      </c>
      <c r="E221" s="1" t="n">
        <v>46251</v>
      </c>
      <c r="F221" t="inlineStr">
        <is>
          <t>VÄSTRA GÖTALANDS LÄN</t>
        </is>
      </c>
      <c r="G221" t="inlineStr">
        <is>
          <t>VÄNERSBORG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46251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46251</v>
      </c>
      <c r="F223" t="inlineStr">
        <is>
          <t>VÄSTRA GÖTALANDS LÄN</t>
        </is>
      </c>
      <c r="G223" t="inlineStr">
        <is>
          <t>VÄNERSBORG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24769-2026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46171</v>
      </c>
      <c r="E224" s="1" t="n">
        <v>46251</v>
      </c>
      <c r="F224" t="inlineStr">
        <is>
          <t>VÄSTRA GÖTALANDS LÄN</t>
        </is>
      </c>
      <c r="G224" t="inlineStr">
        <is>
          <t>VÄNERSBORG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11883-2025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45728</v>
      </c>
      <c r="E225" s="1" t="n">
        <v>46251</v>
      </c>
      <c r="F225" t="inlineStr">
        <is>
          <t>VÄSTRA GÖTALANDS LÄN</t>
        </is>
      </c>
      <c r="G225" t="inlineStr">
        <is>
          <t>VÄNERSBORG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46251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46251</v>
      </c>
      <c r="F227" t="inlineStr">
        <is>
          <t>VÄSTRA GÖTALANDS LÄN</t>
        </is>
      </c>
      <c r="G227" t="inlineStr">
        <is>
          <t>VÄNERSBORG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46251</v>
      </c>
      <c r="F228" t="inlineStr">
        <is>
          <t>VÄSTRA GÖTALANDS LÄN</t>
        </is>
      </c>
      <c r="G228" t="inlineStr">
        <is>
          <t>VÄNERSBORG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46251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46251</v>
      </c>
      <c r="F230" t="inlineStr">
        <is>
          <t>VÄSTRA GÖTALANDS LÄN</t>
        </is>
      </c>
      <c r="G230" t="inlineStr">
        <is>
          <t>VÄNERSBORG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46220</v>
      </c>
      <c r="E231" s="1" t="n">
        <v>46251</v>
      </c>
      <c r="F231" t="inlineStr">
        <is>
          <t>VÄSTRA GÖTALANDS LÄN</t>
        </is>
      </c>
      <c r="G231" t="inlineStr">
        <is>
          <t>VÄNERSBORG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46251</v>
      </c>
      <c r="F232" t="inlineStr">
        <is>
          <t>VÄSTRA GÖTALANDS LÄN</t>
        </is>
      </c>
      <c r="G232" t="inlineStr">
        <is>
          <t>VÄNERSBORG</t>
        </is>
      </c>
      <c r="I232" t="n">
        <v>12.8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46251</v>
      </c>
      <c r="F233" t="inlineStr">
        <is>
          <t>VÄSTRA GÖTALANDS LÄN</t>
        </is>
      </c>
      <c r="G233" t="inlineStr">
        <is>
          <t>VÄNERSBORG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46251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46251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46251</v>
      </c>
      <c r="F236" t="inlineStr">
        <is>
          <t>VÄSTRA GÖTALANDS LÄN</t>
        </is>
      </c>
      <c r="G236" t="inlineStr">
        <is>
          <t>VÄNERSBORG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46251</v>
      </c>
      <c r="F237" t="inlineStr">
        <is>
          <t>VÄSTRA GÖTALANDS LÄN</t>
        </is>
      </c>
      <c r="G237" t="inlineStr">
        <is>
          <t>VÄNERSBORG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45328</v>
      </c>
      <c r="E238" s="1" t="n">
        <v>46251</v>
      </c>
      <c r="F238" t="inlineStr">
        <is>
          <t>VÄSTRA GÖTALANDS LÄN</t>
        </is>
      </c>
      <c r="G238" t="inlineStr">
        <is>
          <t>VÄNERSBORG</t>
        </is>
      </c>
      <c r="H238" t="inlineStr">
        <is>
          <t>Kommuner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46224</v>
      </c>
      <c r="E239" s="1" t="n">
        <v>46251</v>
      </c>
      <c r="F239" t="inlineStr">
        <is>
          <t>VÄSTRA GÖTALANDS LÄN</t>
        </is>
      </c>
      <c r="G239" t="inlineStr">
        <is>
          <t>VÄNERSBORG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64606-2023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46251</v>
      </c>
      <c r="F240" t="inlineStr">
        <is>
          <t>VÄSTRA GÖTALANDS LÄN</t>
        </is>
      </c>
      <c r="G240" t="inlineStr">
        <is>
          <t>VÄNERSBORG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46251</v>
      </c>
      <c r="F241" t="inlineStr">
        <is>
          <t>VÄSTRA GÖTALANDS LÄN</t>
        </is>
      </c>
      <c r="G241" t="inlineStr">
        <is>
          <t>VÄNERSBORG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45728</v>
      </c>
      <c r="E242" s="1" t="n">
        <v>46251</v>
      </c>
      <c r="F242" t="inlineStr">
        <is>
          <t>VÄSTRA GÖTALANDS LÄN</t>
        </is>
      </c>
      <c r="G242" t="inlineStr">
        <is>
          <t>VÄNERSBORG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46251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46251</v>
      </c>
      <c r="F244" t="inlineStr">
        <is>
          <t>VÄSTRA GÖTALANDS LÄN</t>
        </is>
      </c>
      <c r="G244" t="inlineStr">
        <is>
          <t>VÄNERSBORG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44838</v>
      </c>
      <c r="E245" s="1" t="n">
        <v>46251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44606</v>
      </c>
      <c r="E246" s="1" t="n">
        <v>46251</v>
      </c>
      <c r="F246" t="inlineStr">
        <is>
          <t>VÄSTRA GÖTALANDS LÄN</t>
        </is>
      </c>
      <c r="G246" t="inlineStr">
        <is>
          <t>VÄNERSBORG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46251</v>
      </c>
      <c r="F247" t="inlineStr">
        <is>
          <t>VÄSTRA GÖTALANDS LÄN</t>
        </is>
      </c>
      <c r="G247" t="inlineStr">
        <is>
          <t>VÄNERSBORG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46251</v>
      </c>
      <c r="F248" t="inlineStr">
        <is>
          <t>VÄSTRA GÖTALANDS LÄN</t>
        </is>
      </c>
      <c r="G248" t="inlineStr">
        <is>
          <t>VÄNERSBORG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46251</v>
      </c>
      <c r="F249" t="inlineStr">
        <is>
          <t>VÄSTRA GÖTALANDS LÄN</t>
        </is>
      </c>
      <c r="G249" t="inlineStr">
        <is>
          <t>VÄNERSBORG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46251</v>
      </c>
      <c r="F250" t="inlineStr">
        <is>
          <t>VÄSTRA GÖTALANDS LÄN</t>
        </is>
      </c>
      <c r="G250" t="inlineStr">
        <is>
          <t>VÄNERSBORG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46251</v>
      </c>
      <c r="F251" t="inlineStr">
        <is>
          <t>VÄSTRA GÖTALANDS LÄN</t>
        </is>
      </c>
      <c r="G251" t="inlineStr">
        <is>
          <t>VÄNERSBORG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46251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46251</v>
      </c>
      <c r="F253" t="inlineStr">
        <is>
          <t>VÄSTRA GÖTALANDS LÄN</t>
        </is>
      </c>
      <c r="G253" t="inlineStr">
        <is>
          <t>VÄNERSBORG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46239</v>
      </c>
      <c r="E254" s="1" t="n">
        <v>46251</v>
      </c>
      <c r="F254" t="inlineStr">
        <is>
          <t>VÄSTRA GÖTALANDS LÄN</t>
        </is>
      </c>
      <c r="G254" t="inlineStr">
        <is>
          <t>VÄNERSBORG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46251</v>
      </c>
      <c r="F255" t="inlineStr">
        <is>
          <t>VÄSTRA GÖTALANDS LÄN</t>
        </is>
      </c>
      <c r="G255" t="inlineStr">
        <is>
          <t>VÄNERSBORG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46246</v>
      </c>
      <c r="E256" s="1" t="n">
        <v>46251</v>
      </c>
      <c r="F256" t="inlineStr">
        <is>
          <t>VÄSTRA GÖTALANDS LÄN</t>
        </is>
      </c>
      <c r="G256" t="inlineStr">
        <is>
          <t>VÄNERSBORG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46247</v>
      </c>
      <c r="E257" s="1" t="n">
        <v>46251</v>
      </c>
      <c r="F257" t="inlineStr">
        <is>
          <t>VÄSTRA GÖTALANDS LÄN</t>
        </is>
      </c>
      <c r="G257" t="inlineStr">
        <is>
          <t>VÄNERSBORG</t>
        </is>
      </c>
      <c r="I257" t="n">
        <v>11.1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46251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46251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46251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2026-08-17T01:49:00Z</dcterms:created>
  <dcterms:modified xmlns:dcterms="http://purl.org/dc/terms/" xmlns:xsi="http://www.w3.org/2001/XMLSchema-instance" xsi:type="dcterms:W3CDTF">2026-08-17T01:49:01Z</dcterms:modified>
</cp:coreProperties>
</file>