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46322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46322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46322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46322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46322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46322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46322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46322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46322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56739-2023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45244</v>
      </c>
      <c r="E13" s="1" t="n">
        <v>46322</v>
      </c>
      <c r="F13" t="inlineStr">
        <is>
          <t>VÄSTRA GÖTALANDS LÄN</t>
        </is>
      </c>
      <c r="G13" t="inlineStr">
        <is>
          <t>VÄNERSBORG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HYPERLINK("https://klasma.github.io/Logging_1487/artfynd/A 56739-2023 artfynd.xlsx", "A 56739-2023")</f>
        <v/>
      </c>
      <c r="X13">
        <f>HYPERLINK("https://klasma.github.io/Logging_1487/kartor/A 56739-2023 karta.png", "A 56739-2023")</f>
        <v/>
      </c>
      <c r="Y13">
        <f>HYPERLINK("https://klasma.github.io/Logging_1487/kartor_geotiff/A 56739-2023 georefererad karta.tif", "A 56739-2023")</f>
        <v/>
      </c>
      <c r="AA13">
        <f>HYPERLINK("https://klasma.github.io/Logging_1487/klagomål/A 56739-2023 FSC-klagomål.docx", "A 56739-2023")</f>
        <v/>
      </c>
      <c r="AB13">
        <f>HYPERLINK("https://klasma.github.io/Logging_1487/klagomålsmail/A 56739-2023 FSC-klagomål mail.docx", "A 56739-2023")</f>
        <v/>
      </c>
      <c r="AC13">
        <f>HYPERLINK("https://klasma.github.io/Logging_1487/tillsyn/A 56739-2023 tillsynsbegäran.docx", "A 56739-2023")</f>
        <v/>
      </c>
      <c r="AD13">
        <f>HYPERLINK("https://klasma.github.io/Logging_1487/tillsynsmail/A 56739-2023 tillsynsbegäran mail.docx", "A 56739-2023")</f>
        <v/>
      </c>
    </row>
    <row r="14" ht="15" customHeight="1">
      <c r="A14" t="inlineStr">
        <is>
          <t>A 27794-2026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46322</v>
      </c>
      <c r="F14" t="inlineStr">
        <is>
          <t>VÄSTRA GÖTALANDS LÄN</t>
        </is>
      </c>
      <c r="G14" t="inlineStr">
        <is>
          <t>VÄNERSBORG</t>
        </is>
      </c>
      <c r="I14" t="n">
        <v>1.6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Åkerrättika</t>
        </is>
      </c>
      <c r="W14">
        <f>HYPERLINK("https://klasma.github.io/Logging_1487/artfynd/A 27794-2026 artfynd.xlsx", "A 27794-2026")</f>
        <v/>
      </c>
      <c r="X14">
        <f>HYPERLINK("https://klasma.github.io/Logging_1487/kartor/A 27794-2026 karta.png", "A 27794-2026")</f>
        <v/>
      </c>
      <c r="Y14">
        <f>HYPERLINK("https://klasma.github.io/Logging_1487/kartor_geotiff/A 27794-2026 georefererad karta.tif", "A 27794-2026")</f>
        <v/>
      </c>
      <c r="AA14">
        <f>HYPERLINK("https://klasma.github.io/Logging_1487/klagomål/A 27794-2026 FSC-klagomål.docx", "A 27794-2026")</f>
        <v/>
      </c>
      <c r="AB14">
        <f>HYPERLINK("https://klasma.github.io/Logging_1487/klagomålsmail/A 27794-2026 FSC-klagomål mail.docx", "A 27794-2026")</f>
        <v/>
      </c>
      <c r="AC14">
        <f>HYPERLINK("https://klasma.github.io/Logging_1487/tillsyn/A 27794-2026 tillsynsbegäran.docx", "A 27794-2026")</f>
        <v/>
      </c>
      <c r="AD14">
        <f>HYPERLINK("https://klasma.github.io/Logging_1487/tillsynsmail/A 27794-2026 tillsynsbegäran mail.docx", "A 27794-2026")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46322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25575-2025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46322</v>
      </c>
      <c r="F16" t="inlineStr">
        <is>
          <t>VÄSTRA GÖTALANDS LÄN</t>
        </is>
      </c>
      <c r="G16" t="inlineStr">
        <is>
          <t>VÄNERSBORG</t>
        </is>
      </c>
      <c r="H16" t="inlineStr">
        <is>
          <t>Sveaskog</t>
        </is>
      </c>
      <c r="I16" t="n">
        <v>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Blåmossa</t>
        </is>
      </c>
      <c r="W16">
        <f>HYPERLINK("https://klasma.github.io/Logging_1487/artfynd/A 25575-2025 artfynd.xlsx", "A 25575-2025")</f>
        <v/>
      </c>
      <c r="X16">
        <f>HYPERLINK("https://klasma.github.io/Logging_1487/kartor/A 25575-2025 karta.png", "A 25575-2025")</f>
        <v/>
      </c>
      <c r="Y16">
        <f>HYPERLINK("https://klasma.github.io/Logging_1487/kartor_geotiff/A 25575-2025 georefererad karta.tif", "A 25575-2025")</f>
        <v/>
      </c>
      <c r="AA16">
        <f>HYPERLINK("https://klasma.github.io/Logging_1487/klagomål/A 25575-2025 FSC-klagomål.docx", "A 25575-2025")</f>
        <v/>
      </c>
      <c r="AB16">
        <f>HYPERLINK("https://klasma.github.io/Logging_1487/klagomålsmail/A 25575-2025 FSC-klagomål mail.docx", "A 25575-2025")</f>
        <v/>
      </c>
      <c r="AC16">
        <f>HYPERLINK("https://klasma.github.io/Logging_1487/tillsyn/A 25575-2025 tillsynsbegäran.docx", "A 25575-2025")</f>
        <v/>
      </c>
      <c r="AD16">
        <f>HYPERLINK("https://klasma.github.io/Logging_1487/tillsynsmail/A 25575-2025 tillsynsbegäran mail.docx", "A 25575-2025")</f>
        <v/>
      </c>
    </row>
    <row r="17" ht="15" customHeight="1">
      <c r="A17" t="inlineStr">
        <is>
          <t>A 10515-2025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45721</v>
      </c>
      <c r="E17" s="1" t="n">
        <v>46322</v>
      </c>
      <c r="F17" t="inlineStr">
        <is>
          <t>VÄSTRA GÖTALANDS LÄN</t>
        </is>
      </c>
      <c r="G17" t="inlineStr">
        <is>
          <t>VÄNERSBORG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Tibast</t>
        </is>
      </c>
      <c r="W17">
        <f>HYPERLINK("https://klasma.github.io/Logging_1487/artfynd/A 10515-2025 artfynd.xlsx", "A 10515-2025")</f>
        <v/>
      </c>
      <c r="X17">
        <f>HYPERLINK("https://klasma.github.io/Logging_1487/kartor/A 10515-2025 karta.png", "A 10515-2025")</f>
        <v/>
      </c>
      <c r="Y17">
        <f>HYPERLINK("https://klasma.github.io/Logging_1487/kartor_geotiff/A 10515-2025 georefererad karta.tif", "A 10515-2025")</f>
        <v/>
      </c>
      <c r="AA17">
        <f>HYPERLINK("https://klasma.github.io/Logging_1487/klagomål/A 10515-2025 FSC-klagomål.docx", "A 10515-2025")</f>
        <v/>
      </c>
      <c r="AB17">
        <f>HYPERLINK("https://klasma.github.io/Logging_1487/klagomålsmail/A 10515-2025 FSC-klagomål mail.docx", "A 10515-2025")</f>
        <v/>
      </c>
      <c r="AC17">
        <f>HYPERLINK("https://klasma.github.io/Logging_1487/tillsyn/A 10515-2025 tillsynsbegäran.docx", "A 10515-2025")</f>
        <v/>
      </c>
      <c r="AD17">
        <f>HYPERLINK("https://klasma.github.io/Logging_1487/tillsynsmail/A 10515-2025 tillsynsbegäran mail.docx", "A 10515-2025")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46322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Gullklöver</t>
        </is>
      </c>
      <c r="W18">
        <f>HYPERLINK("https://klasma.github.io/Logging_1487/artfynd/A 11709-2024 artfynd.xlsx", "A 11709-2024")</f>
        <v/>
      </c>
      <c r="X18">
        <f>HYPERLINK("https://klasma.github.io/Logging_1487/kartor/A 11709-2024 karta.png", "A 11709-2024")</f>
        <v/>
      </c>
      <c r="Y18">
        <f>HYPERLINK("https://klasma.github.io/Logging_1487/kartor_geotiff/A 11709-2024 georefererad karta.tif", "A 11709-2024")</f>
        <v/>
      </c>
      <c r="AA18">
        <f>HYPERLINK("https://klasma.github.io/Logging_1487/klagomål/A 11709-2024 FSC-klagomål.docx", "A 11709-2024")</f>
        <v/>
      </c>
      <c r="AB18">
        <f>HYPERLINK("https://klasma.github.io/Logging_1487/klagomålsmail/A 11709-2024 FSC-klagomål mail.docx", "A 11709-2024")</f>
        <v/>
      </c>
      <c r="AC18">
        <f>HYPERLINK("https://klasma.github.io/Logging_1487/tillsyn/A 11709-2024 tillsynsbegäran.docx", "A 11709-2024")</f>
        <v/>
      </c>
      <c r="AD18">
        <f>HYPERLINK("https://klasma.github.io/Logging_1487/tillsynsmail/A 11709-2024 tillsynsbegäran mail.docx", "A 11709-2024")</f>
        <v/>
      </c>
    </row>
    <row r="19" ht="15" customHeight="1">
      <c r="A19" t="inlineStr">
        <is>
          <t>A 5009-2025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46322</v>
      </c>
      <c r="F19" t="inlineStr">
        <is>
          <t>VÄSTRA GÖTALANDS LÄN</t>
        </is>
      </c>
      <c r="G19" t="inlineStr">
        <is>
          <t>VÄNERSBORG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Ljungpipare</t>
        </is>
      </c>
      <c r="W19">
        <f>HYPERLINK("https://klasma.github.io/Logging_1487/artfynd/A 5009-2025 artfynd.xlsx", "A 5009-2025")</f>
        <v/>
      </c>
      <c r="X19">
        <f>HYPERLINK("https://klasma.github.io/Logging_1487/kartor/A 5009-2025 karta.png", "A 5009-2025")</f>
        <v/>
      </c>
      <c r="Y19">
        <f>HYPERLINK("https://klasma.github.io/Logging_1487/kartor_geotiff/A 5009-2025 georefererad karta.tif", "A 5009-2025")</f>
        <v/>
      </c>
      <c r="AA19">
        <f>HYPERLINK("https://klasma.github.io/Logging_1487/klagomål/A 5009-2025 FSC-klagomål.docx", "A 5009-2025")</f>
        <v/>
      </c>
      <c r="AB19">
        <f>HYPERLINK("https://klasma.github.io/Logging_1487/klagomålsmail/A 5009-2025 FSC-klagomål mail.docx", "A 5009-2025")</f>
        <v/>
      </c>
      <c r="AC19">
        <f>HYPERLINK("https://klasma.github.io/Logging_1487/tillsyn/A 5009-2025 tillsynsbegäran.docx", "A 5009-2025")</f>
        <v/>
      </c>
      <c r="AD19">
        <f>HYPERLINK("https://klasma.github.io/Logging_1487/tillsynsmail/A 5009-2025 tillsynsbegäran mail.docx", "A 5009-2025")</f>
        <v/>
      </c>
      <c r="AE19">
        <f>HYPERLINK("https://klasma.github.io/Logging_1487/fåglar/A 5009-2025 prioriterade fågelarter.docx", "A 5009-2025")</f>
        <v/>
      </c>
    </row>
    <row r="20" ht="15" customHeight="1">
      <c r="A20" t="inlineStr">
        <is>
          <t>A 18733-2026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46128</v>
      </c>
      <c r="E20" s="1" t="n">
        <v>46322</v>
      </c>
      <c r="F20" t="inlineStr">
        <is>
          <t>VÄSTRA GÖTALANDS LÄN</t>
        </is>
      </c>
      <c r="G20" t="inlineStr">
        <is>
          <t>VÄNERSBORG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Tallticka</t>
        </is>
      </c>
      <c r="W20">
        <f>HYPERLINK("https://klasma.github.io/Logging_1487/artfynd/A 18733-2026 artfynd.xlsx", "A 18733-2026")</f>
        <v/>
      </c>
      <c r="X20">
        <f>HYPERLINK("https://klasma.github.io/Logging_1487/kartor/A 18733-2026 karta.png", "A 18733-2026")</f>
        <v/>
      </c>
      <c r="Y20">
        <f>HYPERLINK("https://klasma.github.io/Logging_1487/kartor_geotiff/A 18733-2026 georefererad karta.tif", "A 18733-2026")</f>
        <v/>
      </c>
      <c r="AA20">
        <f>HYPERLINK("https://klasma.github.io/Logging_1487/klagomål/A 18733-2026 FSC-klagomål.docx", "A 18733-2026")</f>
        <v/>
      </c>
      <c r="AB20">
        <f>HYPERLINK("https://klasma.github.io/Logging_1487/klagomålsmail/A 18733-2026 FSC-klagomål mail.docx", "A 18733-2026")</f>
        <v/>
      </c>
      <c r="AC20">
        <f>HYPERLINK("https://klasma.github.io/Logging_1487/tillsyn/A 18733-2026 tillsynsbegäran.docx", "A 18733-2026")</f>
        <v/>
      </c>
      <c r="AD20">
        <f>HYPERLINK("https://klasma.github.io/Logging_1487/tillsynsmail/A 18733-2026 tillsynsbegäran mail.docx", "A 18733-2026")</f>
        <v/>
      </c>
    </row>
    <row r="21" ht="15" customHeight="1">
      <c r="A21" t="inlineStr">
        <is>
          <t>A 17920-2023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45040</v>
      </c>
      <c r="E21" s="1" t="n">
        <v>46322</v>
      </c>
      <c r="F21" t="inlineStr">
        <is>
          <t>VÄSTRA GÖTALANDS LÄN</t>
        </is>
      </c>
      <c r="G21" t="inlineStr">
        <is>
          <t>VÄNERSBORG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HYPERLINK("https://klasma.github.io/Logging_1487/artfynd/A 17920-2023 artfynd.xlsx", "A 17920-2023")</f>
        <v/>
      </c>
      <c r="X21">
        <f>HYPERLINK("https://klasma.github.io/Logging_1487/kartor/A 17920-2023 karta.png", "A 17920-2023")</f>
        <v/>
      </c>
      <c r="Y21">
        <f>HYPERLINK("https://klasma.github.io/Logging_1487/kartor_geotiff/A 17920-2023 georefererad karta.tif", "A 17920-2023")</f>
        <v/>
      </c>
      <c r="AA21">
        <f>HYPERLINK("https://klasma.github.io/Logging_1487/klagomål/A 17920-2023 FSC-klagomål.docx", "A 17920-2023")</f>
        <v/>
      </c>
      <c r="AB21">
        <f>HYPERLINK("https://klasma.github.io/Logging_1487/klagomålsmail/A 17920-2023 FSC-klagomål mail.docx", "A 17920-2023")</f>
        <v/>
      </c>
      <c r="AC21">
        <f>HYPERLINK("https://klasma.github.io/Logging_1487/tillsyn/A 17920-2023 tillsynsbegäran.docx", "A 17920-2023")</f>
        <v/>
      </c>
      <c r="AD21">
        <f>HYPERLINK("https://klasma.github.io/Logging_1487/tillsynsmail/A 17920-2023 tillsynsbegäran mail.docx", "A 17920-2023")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46322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HYPERLINK("https://klasma.github.io/Logging_1487/artfynd/A 39899-2023 artfynd.xlsx", "A 39899-2023")</f>
        <v/>
      </c>
      <c r="X22">
        <f>HYPERLINK("https://klasma.github.io/Logging_1487/kartor/A 39899-2023 karta.png", "A 39899-2023")</f>
        <v/>
      </c>
      <c r="Y22">
        <f>HYPERLINK("https://klasma.github.io/Logging_1487/kartor_geotiff/A 39899-2023 georefererad karta.tif", "A 39899-2023")</f>
        <v/>
      </c>
      <c r="AA22">
        <f>HYPERLINK("https://klasma.github.io/Logging_1487/klagomål/A 39899-2023 FSC-klagomål.docx", "A 39899-2023")</f>
        <v/>
      </c>
      <c r="AB22">
        <f>HYPERLINK("https://klasma.github.io/Logging_1487/klagomålsmail/A 39899-2023 FSC-klagomål mail.docx", "A 39899-2023")</f>
        <v/>
      </c>
      <c r="AC22">
        <f>HYPERLINK("https://klasma.github.io/Logging_1487/tillsyn/A 39899-2023 tillsynsbegäran.docx", "A 39899-2023")</f>
        <v/>
      </c>
      <c r="AD22">
        <f>HYPERLINK("https://klasma.github.io/Logging_1487/tillsynsmail/A 39899-2023 tillsynsbegäran mail.docx", "A 39899-2023")</f>
        <v/>
      </c>
      <c r="AE22">
        <f>HYPERLINK("https://klasma.github.io/Logging_1487/fåglar/A 39899-2023 prioriterade fågelarter.docx", "A 39899-2023")</f>
        <v/>
      </c>
    </row>
    <row r="23" ht="15" customHeight="1">
      <c r="A23" t="inlineStr">
        <is>
          <t>A 48163-2024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46322</v>
      </c>
      <c r="F23" t="inlineStr">
        <is>
          <t>VÄSTRA GÖTALANDS LÄN</t>
        </is>
      </c>
      <c r="G23" t="inlineStr">
        <is>
          <t>VÄNERSBORG</t>
        </is>
      </c>
      <c r="I23" t="n">
        <v>14.4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Sångsvan</t>
        </is>
      </c>
      <c r="W23">
        <f>HYPERLINK("https://klasma.github.io/Logging_1487/artfynd/A 48163-2024 artfynd.xlsx", "A 48163-2024")</f>
        <v/>
      </c>
      <c r="X23">
        <f>HYPERLINK("https://klasma.github.io/Logging_1487/kartor/A 48163-2024 karta.png", "A 48163-2024")</f>
        <v/>
      </c>
      <c r="Y23">
        <f>HYPERLINK("https://klasma.github.io/Logging_1487/kartor_geotiff/A 48163-2024 georefererad karta.tif", "A 48163-2024")</f>
        <v/>
      </c>
      <c r="AA23">
        <f>HYPERLINK("https://klasma.github.io/Logging_1487/klagomål/A 48163-2024 FSC-klagomål.docx", "A 48163-2024")</f>
        <v/>
      </c>
      <c r="AB23">
        <f>HYPERLINK("https://klasma.github.io/Logging_1487/klagomålsmail/A 48163-2024 FSC-klagomål mail.docx", "A 48163-2024")</f>
        <v/>
      </c>
      <c r="AC23">
        <f>HYPERLINK("https://klasma.github.io/Logging_1487/tillsyn/A 48163-2024 tillsynsbegäran.docx", "A 48163-2024")</f>
        <v/>
      </c>
      <c r="AD23">
        <f>HYPERLINK("https://klasma.github.io/Logging_1487/tillsynsmail/A 48163-2024 tillsynsbegäran mail.docx", "A 48163-2024")</f>
        <v/>
      </c>
      <c r="AE23">
        <f>HYPERLINK("https://klasma.github.io/Logging_1487/fåglar/A 48163-2024 prioriterade fågelarter.docx", "A 48163-2024")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46322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46322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46322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46322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46322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46322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46322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46322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46322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46322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46322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46322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46322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46322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46322</v>
      </c>
      <c r="F38" t="inlineStr">
        <is>
          <t>VÄSTRA GÖTALANDS LÄN</t>
        </is>
      </c>
      <c r="G38" t="inlineStr">
        <is>
          <t>VÄNERSBORG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46322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46322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46322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46322</v>
      </c>
      <c r="F42" t="inlineStr">
        <is>
          <t>VÄSTRA GÖTALANDS LÄN</t>
        </is>
      </c>
      <c r="G42" t="inlineStr">
        <is>
          <t>VÄNERSBORG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46322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46322</v>
      </c>
      <c r="F44" t="inlineStr">
        <is>
          <t>VÄSTRA GÖTALANDS LÄN</t>
        </is>
      </c>
      <c r="G44" t="inlineStr">
        <is>
          <t>VÄNERSBORG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46322</v>
      </c>
      <c r="F45" t="inlineStr">
        <is>
          <t>VÄSTRA GÖTALANDS LÄN</t>
        </is>
      </c>
      <c r="G45" t="inlineStr">
        <is>
          <t>VÄNERSBORG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46322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46322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13923-2022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44650</v>
      </c>
      <c r="E48" s="1" t="n">
        <v>46322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Naturvårdsverket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46322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Sveaskog</t>
        </is>
      </c>
      <c r="I49" t="n">
        <v>12.5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46322</v>
      </c>
      <c r="F50" t="inlineStr">
        <is>
          <t>VÄSTRA GÖTALANDS LÄN</t>
        </is>
      </c>
      <c r="G50" t="inlineStr">
        <is>
          <t>VÄNERSBORG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46322</v>
      </c>
      <c r="F51" t="inlineStr">
        <is>
          <t>VÄSTRA GÖTALANDS LÄN</t>
        </is>
      </c>
      <c r="G51" t="inlineStr">
        <is>
          <t>VÄNERSBORG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45056</v>
      </c>
      <c r="E52" s="1" t="n">
        <v>46322</v>
      </c>
      <c r="F52" t="inlineStr">
        <is>
          <t>VÄSTRA GÖTALANDS LÄN</t>
        </is>
      </c>
      <c r="G52" t="inlineStr">
        <is>
          <t>VÄNERSBORG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46322</v>
      </c>
      <c r="F53" t="inlineStr">
        <is>
          <t>VÄSTRA GÖTALANDS LÄN</t>
        </is>
      </c>
      <c r="G53" t="inlineStr">
        <is>
          <t>VÄNERSBORG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40544-2025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45896</v>
      </c>
      <c r="E54" s="1" t="n">
        <v>46322</v>
      </c>
      <c r="F54" t="inlineStr">
        <is>
          <t>VÄSTRA GÖTALANDS LÄN</t>
        </is>
      </c>
      <c r="G54" t="inlineStr">
        <is>
          <t>VÄNERSBORG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45896</v>
      </c>
      <c r="E55" s="1" t="n">
        <v>46322</v>
      </c>
      <c r="F55" t="inlineStr">
        <is>
          <t>VÄSTRA GÖTALANDS LÄN</t>
        </is>
      </c>
      <c r="G55" t="inlineStr">
        <is>
          <t>VÄNERSBORG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40553-2025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46322</v>
      </c>
      <c r="F56" t="inlineStr">
        <is>
          <t>VÄSTRA GÖTALANDS LÄN</t>
        </is>
      </c>
      <c r="G56" t="inlineStr">
        <is>
          <t>VÄNERSBORG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45592</v>
      </c>
      <c r="E57" s="1" t="n">
        <v>46322</v>
      </c>
      <c r="F57" t="inlineStr">
        <is>
          <t>VÄSTRA GÖTALANDS LÄN</t>
        </is>
      </c>
      <c r="G57" t="inlineStr">
        <is>
          <t>VÄNERSBORG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46322</v>
      </c>
      <c r="F58" t="inlineStr">
        <is>
          <t>VÄSTRA GÖTALANDS LÄN</t>
        </is>
      </c>
      <c r="G58" t="inlineStr">
        <is>
          <t>VÄNERSBORG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46322</v>
      </c>
      <c r="F59" t="inlineStr">
        <is>
          <t>VÄSTRA GÖTALANDS LÄN</t>
        </is>
      </c>
      <c r="G59" t="inlineStr">
        <is>
          <t>VÄNERSBORG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45884</v>
      </c>
      <c r="E60" s="1" t="n">
        <v>46322</v>
      </c>
      <c r="F60" t="inlineStr">
        <is>
          <t>VÄSTRA GÖTALANDS LÄN</t>
        </is>
      </c>
      <c r="G60" t="inlineStr">
        <is>
          <t>VÄNERSBORG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45517</v>
      </c>
      <c r="E61" s="1" t="n">
        <v>46322</v>
      </c>
      <c r="F61" t="inlineStr">
        <is>
          <t>VÄSTRA GÖTALANDS LÄN</t>
        </is>
      </c>
      <c r="G61" t="inlineStr">
        <is>
          <t>VÄNERSBORG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45902</v>
      </c>
      <c r="E62" s="1" t="n">
        <v>46322</v>
      </c>
      <c r="F62" t="inlineStr">
        <is>
          <t>VÄSTRA GÖTALANDS LÄN</t>
        </is>
      </c>
      <c r="G62" t="inlineStr">
        <is>
          <t>VÄNERSBORG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40939-2024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45558</v>
      </c>
      <c r="E63" s="1" t="n">
        <v>46322</v>
      </c>
      <c r="F63" t="inlineStr">
        <is>
          <t>VÄSTRA GÖTALANDS LÄN</t>
        </is>
      </c>
      <c r="G63" t="inlineStr">
        <is>
          <t>VÄNERSBORG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46322</v>
      </c>
      <c r="F64" t="inlineStr">
        <is>
          <t>VÄSTRA GÖTALANDS LÄN</t>
        </is>
      </c>
      <c r="G64" t="inlineStr">
        <is>
          <t>VÄNERSBORG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45057</v>
      </c>
      <c r="E65" s="1" t="n">
        <v>46322</v>
      </c>
      <c r="F65" t="inlineStr">
        <is>
          <t>VÄSTRA GÖTALANDS LÄN</t>
        </is>
      </c>
      <c r="G65" t="inlineStr">
        <is>
          <t>VÄNERSBORG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46322</v>
      </c>
      <c r="F66" t="inlineStr">
        <is>
          <t>VÄSTRA GÖTALANDS LÄN</t>
        </is>
      </c>
      <c r="G66" t="inlineStr">
        <is>
          <t>VÄNERSBORG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46322</v>
      </c>
      <c r="F67" t="inlineStr">
        <is>
          <t>VÄSTRA GÖTALANDS LÄN</t>
        </is>
      </c>
      <c r="G67" t="inlineStr">
        <is>
          <t>VÄNERSBORG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46322</v>
      </c>
      <c r="F68" t="inlineStr">
        <is>
          <t>VÄSTRA GÖTALANDS LÄN</t>
        </is>
      </c>
      <c r="G68" t="inlineStr">
        <is>
          <t>VÄNERSBORG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46322</v>
      </c>
      <c r="F69" t="inlineStr">
        <is>
          <t>VÄSTRA GÖTALANDS LÄN</t>
        </is>
      </c>
      <c r="G69" t="inlineStr">
        <is>
          <t>VÄNERSBORG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46322</v>
      </c>
      <c r="F70" t="inlineStr">
        <is>
          <t>VÄSTRA GÖTALANDS LÄN</t>
        </is>
      </c>
      <c r="G70" t="inlineStr">
        <is>
          <t>VÄNERSBORG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46322</v>
      </c>
      <c r="F71" t="inlineStr">
        <is>
          <t>VÄSTRA GÖTALANDS LÄN</t>
        </is>
      </c>
      <c r="G71" t="inlineStr">
        <is>
          <t>VÄNERSBORG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44683</v>
      </c>
      <c r="E72" s="1" t="n">
        <v>46322</v>
      </c>
      <c r="F72" t="inlineStr">
        <is>
          <t>VÄSTRA GÖTALANDS LÄN</t>
        </is>
      </c>
      <c r="G72" t="inlineStr">
        <is>
          <t>VÄNERSBORG</t>
        </is>
      </c>
      <c r="I72" t="n">
        <v>10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44930</v>
      </c>
      <c r="E73" s="1" t="n">
        <v>46322</v>
      </c>
      <c r="F73" t="inlineStr">
        <is>
          <t>VÄSTRA GÖTALANDS LÄN</t>
        </is>
      </c>
      <c r="G73" t="inlineStr">
        <is>
          <t>VÄNERSBORG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46322</v>
      </c>
      <c r="F74" t="inlineStr">
        <is>
          <t>VÄSTRA GÖTALANDS LÄN</t>
        </is>
      </c>
      <c r="G74" t="inlineStr">
        <is>
          <t>VÄNERSBORG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46322</v>
      </c>
      <c r="F75" t="inlineStr">
        <is>
          <t>VÄSTRA GÖTALANDS LÄN</t>
        </is>
      </c>
      <c r="G75" t="inlineStr">
        <is>
          <t>VÄNERSBORG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46322</v>
      </c>
      <c r="F76" t="inlineStr">
        <is>
          <t>VÄSTRA GÖTALANDS LÄN</t>
        </is>
      </c>
      <c r="G76" t="inlineStr">
        <is>
          <t>VÄNERSBORG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45187</v>
      </c>
      <c r="E77" s="1" t="n">
        <v>46322</v>
      </c>
      <c r="F77" t="inlineStr">
        <is>
          <t>VÄSTRA GÖTALANDS LÄN</t>
        </is>
      </c>
      <c r="G77" t="inlineStr">
        <is>
          <t>VÄNERSBORG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46322</v>
      </c>
      <c r="F78" t="inlineStr">
        <is>
          <t>VÄSTRA GÖTALANDS LÄN</t>
        </is>
      </c>
      <c r="G78" t="inlineStr">
        <is>
          <t>VÄNERSBORG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15107-2024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45399</v>
      </c>
      <c r="E79" s="1" t="n">
        <v>46322</v>
      </c>
      <c r="F79" t="inlineStr">
        <is>
          <t>VÄSTRA GÖTALANDS LÄN</t>
        </is>
      </c>
      <c r="G79" t="inlineStr">
        <is>
          <t>VÄNERSBORG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44929</v>
      </c>
      <c r="E80" s="1" t="n">
        <v>46322</v>
      </c>
      <c r="F80" t="inlineStr">
        <is>
          <t>VÄSTRA GÖTALANDS LÄN</t>
        </is>
      </c>
      <c r="G80" t="inlineStr">
        <is>
          <t>VÄNERSBORG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46322</v>
      </c>
      <c r="F81" t="inlineStr">
        <is>
          <t>VÄSTRA GÖTALANDS LÄN</t>
        </is>
      </c>
      <c r="G81" t="inlineStr">
        <is>
          <t>VÄNERSBORG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45294</v>
      </c>
      <c r="E82" s="1" t="n">
        <v>46322</v>
      </c>
      <c r="F82" t="inlineStr">
        <is>
          <t>VÄSTRA GÖTALANDS LÄN</t>
        </is>
      </c>
      <c r="G82" t="inlineStr">
        <is>
          <t>VÄNERSBORG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46322</v>
      </c>
      <c r="F83" t="inlineStr">
        <is>
          <t>VÄSTRA GÖTALANDS LÄN</t>
        </is>
      </c>
      <c r="G83" t="inlineStr">
        <is>
          <t>VÄNERSBORG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27232-2024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45471</v>
      </c>
      <c r="E84" s="1" t="n">
        <v>46322</v>
      </c>
      <c r="F84" t="inlineStr">
        <is>
          <t>VÄSTRA GÖTALANDS LÄN</t>
        </is>
      </c>
      <c r="G84" t="inlineStr">
        <is>
          <t>VÄNERSBORG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46322</v>
      </c>
      <c r="F85" t="inlineStr">
        <is>
          <t>VÄSTRA GÖTALANDS LÄN</t>
        </is>
      </c>
      <c r="G85" t="inlineStr">
        <is>
          <t>VÄNERSBORG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45345</v>
      </c>
      <c r="E86" s="1" t="n">
        <v>46322</v>
      </c>
      <c r="F86" t="inlineStr">
        <is>
          <t>VÄSTRA GÖTALANDS LÄN</t>
        </is>
      </c>
      <c r="G86" t="inlineStr">
        <is>
          <t>VÄNERSBORG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45238</v>
      </c>
      <c r="E87" s="1" t="n">
        <v>46322</v>
      </c>
      <c r="F87" t="inlineStr">
        <is>
          <t>VÄSTRA GÖTALANDS LÄN</t>
        </is>
      </c>
      <c r="G87" t="inlineStr">
        <is>
          <t>VÄNERSBORG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33476-2022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44788</v>
      </c>
      <c r="E88" s="1" t="n">
        <v>46322</v>
      </c>
      <c r="F88" t="inlineStr">
        <is>
          <t>VÄSTRA GÖTALANDS LÄN</t>
        </is>
      </c>
      <c r="G88" t="inlineStr">
        <is>
          <t>VÄNERSBORG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46322</v>
      </c>
      <c r="F89" t="inlineStr">
        <is>
          <t>VÄSTRA GÖTALANDS LÄN</t>
        </is>
      </c>
      <c r="G89" t="inlineStr">
        <is>
          <t>VÄNERSBORG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46322</v>
      </c>
      <c r="F90" t="inlineStr">
        <is>
          <t>VÄSTRA GÖTALANDS LÄN</t>
        </is>
      </c>
      <c r="G90" t="inlineStr">
        <is>
          <t>VÄNERSBORG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46322</v>
      </c>
      <c r="F91" t="inlineStr">
        <is>
          <t>VÄSTRA GÖTALANDS LÄN</t>
        </is>
      </c>
      <c r="G91" t="inlineStr">
        <is>
          <t>VÄNERSBORG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14722-2023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45014</v>
      </c>
      <c r="E92" s="1" t="n">
        <v>46322</v>
      </c>
      <c r="F92" t="inlineStr">
        <is>
          <t>VÄSTRA GÖTALANDS LÄN</t>
        </is>
      </c>
      <c r="G92" t="inlineStr">
        <is>
          <t>VÄNERSBORG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46322</v>
      </c>
      <c r="F93" t="inlineStr">
        <is>
          <t>VÄSTRA GÖTALANDS LÄN</t>
        </is>
      </c>
      <c r="G93" t="inlineStr">
        <is>
          <t>VÄNERSBORG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28263-2023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45099</v>
      </c>
      <c r="E94" s="1" t="n">
        <v>46322</v>
      </c>
      <c r="F94" t="inlineStr">
        <is>
          <t>VÄSTRA GÖTALANDS LÄN</t>
        </is>
      </c>
      <c r="G94" t="inlineStr">
        <is>
          <t>VÄNERSBORG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46322</v>
      </c>
      <c r="F95" t="inlineStr">
        <is>
          <t>VÄSTRA GÖTALANDS LÄN</t>
        </is>
      </c>
      <c r="G95" t="inlineStr">
        <is>
          <t>VÄNERSBORG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46322</v>
      </c>
      <c r="F96" t="inlineStr">
        <is>
          <t>VÄSTRA GÖTALANDS LÄN</t>
        </is>
      </c>
      <c r="G96" t="inlineStr">
        <is>
          <t>VÄNERSBORG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45571</v>
      </c>
      <c r="E97" s="1" t="n">
        <v>46322</v>
      </c>
      <c r="F97" t="inlineStr">
        <is>
          <t>VÄSTRA GÖTALANDS LÄN</t>
        </is>
      </c>
      <c r="G97" t="inlineStr">
        <is>
          <t>VÄNERSBORG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46322</v>
      </c>
      <c r="F98" t="inlineStr">
        <is>
          <t>VÄSTRA GÖTALANDS LÄN</t>
        </is>
      </c>
      <c r="G98" t="inlineStr">
        <is>
          <t>VÄNERSBORG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33912-2023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45134</v>
      </c>
      <c r="E99" s="1" t="n">
        <v>46322</v>
      </c>
      <c r="F99" t="inlineStr">
        <is>
          <t>VÄSTRA GÖTALANDS LÄN</t>
        </is>
      </c>
      <c r="G99" t="inlineStr">
        <is>
          <t>VÄNERSBORG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45592</v>
      </c>
      <c r="E100" s="1" t="n">
        <v>46322</v>
      </c>
      <c r="F100" t="inlineStr">
        <is>
          <t>VÄSTRA GÖTALANDS LÄN</t>
        </is>
      </c>
      <c r="G100" t="inlineStr">
        <is>
          <t>VÄNERSBORG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46322</v>
      </c>
      <c r="F101" t="inlineStr">
        <is>
          <t>VÄSTRA GÖTALANDS LÄN</t>
        </is>
      </c>
      <c r="G101" t="inlineStr">
        <is>
          <t>VÄNERSBORG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46322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46322</v>
      </c>
      <c r="F103" t="inlineStr">
        <is>
          <t>VÄSTRA GÖTALANDS LÄN</t>
        </is>
      </c>
      <c r="G103" t="inlineStr">
        <is>
          <t>VÄNERSBORG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46322</v>
      </c>
      <c r="F104" t="inlineStr">
        <is>
          <t>VÄSTRA GÖTALANDS LÄN</t>
        </is>
      </c>
      <c r="G104" t="inlineStr">
        <is>
          <t>VÄNERSBORG</t>
        </is>
      </c>
      <c r="I104" t="n">
        <v>13.4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42698-2024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45566</v>
      </c>
      <c r="E105" s="1" t="n">
        <v>46322</v>
      </c>
      <c r="F105" t="inlineStr">
        <is>
          <t>VÄSTRA GÖTALANDS LÄN</t>
        </is>
      </c>
      <c r="G105" t="inlineStr">
        <is>
          <t>VÄNERSBORG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46322</v>
      </c>
      <c r="F106" t="inlineStr">
        <is>
          <t>VÄSTRA GÖTALANDS LÄN</t>
        </is>
      </c>
      <c r="G106" t="inlineStr">
        <is>
          <t>VÄNERSBORG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46322</v>
      </c>
      <c r="F107" t="inlineStr">
        <is>
          <t>VÄSTRA GÖTALANDS LÄN</t>
        </is>
      </c>
      <c r="G107" t="inlineStr">
        <is>
          <t>VÄNERSBORG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22402-2024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45446</v>
      </c>
      <c r="E108" s="1" t="n">
        <v>46322</v>
      </c>
      <c r="F108" t="inlineStr">
        <is>
          <t>VÄSTRA GÖTALANDS LÄN</t>
        </is>
      </c>
      <c r="G108" t="inlineStr">
        <is>
          <t>VÄNERSBORG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46322</v>
      </c>
      <c r="F109" t="inlineStr">
        <is>
          <t>VÄSTRA GÖTALANDS LÄN</t>
        </is>
      </c>
      <c r="G109" t="inlineStr">
        <is>
          <t>VÄNERSBORG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44824</v>
      </c>
      <c r="E110" s="1" t="n">
        <v>46322</v>
      </c>
      <c r="F110" t="inlineStr">
        <is>
          <t>VÄSTRA GÖTALANDS LÄN</t>
        </is>
      </c>
      <c r="G110" t="inlineStr">
        <is>
          <t>VÄNERSBORG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45786</v>
      </c>
      <c r="E111" s="1" t="n">
        <v>46322</v>
      </c>
      <c r="F111" t="inlineStr">
        <is>
          <t>VÄSTRA GÖTALANDS LÄN</t>
        </is>
      </c>
      <c r="G111" t="inlineStr">
        <is>
          <t>VÄNERSBORG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56261-2025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45974</v>
      </c>
      <c r="E112" s="1" t="n">
        <v>46322</v>
      </c>
      <c r="F112" t="inlineStr">
        <is>
          <t>VÄSTRA GÖTALANDS LÄN</t>
        </is>
      </c>
      <c r="G112" t="inlineStr">
        <is>
          <t>VÄNERSBORG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46322</v>
      </c>
      <c r="F113" t="inlineStr">
        <is>
          <t>VÄSTRA GÖTALANDS LÄN</t>
        </is>
      </c>
      <c r="G113" t="inlineStr">
        <is>
          <t>VÄNERSBORG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46322</v>
      </c>
      <c r="F114" t="inlineStr">
        <is>
          <t>VÄSTRA GÖTALANDS LÄN</t>
        </is>
      </c>
      <c r="G114" t="inlineStr">
        <is>
          <t>VÄNERSBORG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46322</v>
      </c>
      <c r="F115" t="inlineStr">
        <is>
          <t>VÄSTRA GÖTALANDS LÄN</t>
        </is>
      </c>
      <c r="G115" t="inlineStr">
        <is>
          <t>VÄNERSBORG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46322</v>
      </c>
      <c r="F116" t="inlineStr">
        <is>
          <t>VÄSTRA GÖTALANDS LÄN</t>
        </is>
      </c>
      <c r="G116" t="inlineStr">
        <is>
          <t>VÄNERSBORG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13666-2025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45736</v>
      </c>
      <c r="E117" s="1" t="n">
        <v>46322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46322</v>
      </c>
      <c r="F118" t="inlineStr">
        <is>
          <t>VÄSTRA GÖTALANDS LÄN</t>
        </is>
      </c>
      <c r="G118" t="inlineStr">
        <is>
          <t>VÄNERSBORG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44714</v>
      </c>
      <c r="E119" s="1" t="n">
        <v>46322</v>
      </c>
      <c r="F119" t="inlineStr">
        <is>
          <t>VÄSTRA GÖTALANDS LÄN</t>
        </is>
      </c>
      <c r="G119" t="inlineStr">
        <is>
          <t>VÄNERSBORG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45085</v>
      </c>
      <c r="E120" s="1" t="n">
        <v>46322</v>
      </c>
      <c r="F120" t="inlineStr">
        <is>
          <t>VÄSTRA GÖTALANDS LÄN</t>
        </is>
      </c>
      <c r="G120" t="inlineStr">
        <is>
          <t>VÄNERSBORG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46322</v>
      </c>
      <c r="F121" t="inlineStr">
        <is>
          <t>VÄSTRA GÖTALANDS LÄN</t>
        </is>
      </c>
      <c r="G121" t="inlineStr">
        <is>
          <t>VÄNERSBORG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11883-2025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45728</v>
      </c>
      <c r="E122" s="1" t="n">
        <v>46322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45798</v>
      </c>
      <c r="E123" s="1" t="n">
        <v>46322</v>
      </c>
      <c r="F123" t="inlineStr">
        <is>
          <t>VÄSTRA GÖTALANDS LÄN</t>
        </is>
      </c>
      <c r="G123" t="inlineStr">
        <is>
          <t>VÄNERSBORG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46322</v>
      </c>
      <c r="F124" t="inlineStr">
        <is>
          <t>VÄSTRA GÖTALANDS LÄN</t>
        </is>
      </c>
      <c r="G124" t="inlineStr">
        <is>
          <t>VÄNERSBORG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45994</v>
      </c>
      <c r="E125" s="1" t="n">
        <v>46322</v>
      </c>
      <c r="F125" t="inlineStr">
        <is>
          <t>VÄSTRA GÖTALANDS LÄN</t>
        </is>
      </c>
      <c r="G125" t="inlineStr">
        <is>
          <t>VÄNERSBORG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46322</v>
      </c>
      <c r="F126" t="inlineStr">
        <is>
          <t>VÄSTRA GÖTALANDS LÄN</t>
        </is>
      </c>
      <c r="G126" t="inlineStr">
        <is>
          <t>VÄNERSBORG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45798</v>
      </c>
      <c r="E127" s="1" t="n">
        <v>46322</v>
      </c>
      <c r="F127" t="inlineStr">
        <is>
          <t>VÄSTRA GÖTALANDS LÄN</t>
        </is>
      </c>
      <c r="G127" t="inlineStr">
        <is>
          <t>VÄNERSBORG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45798</v>
      </c>
      <c r="E128" s="1" t="n">
        <v>46322</v>
      </c>
      <c r="F128" t="inlineStr">
        <is>
          <t>VÄSTRA GÖTALANDS LÄN</t>
        </is>
      </c>
      <c r="G128" t="inlineStr">
        <is>
          <t>VÄNERSBORG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46322</v>
      </c>
      <c r="F129" t="inlineStr">
        <is>
          <t>VÄSTRA GÖTALANDS LÄN</t>
        </is>
      </c>
      <c r="G129" t="inlineStr">
        <is>
          <t>VÄNERSBORG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60325-2025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46322</v>
      </c>
      <c r="F130" t="inlineStr">
        <is>
          <t>VÄSTRA GÖTALANDS LÄN</t>
        </is>
      </c>
      <c r="G130" t="inlineStr">
        <is>
          <t>VÄNERSBORG</t>
        </is>
      </c>
      <c r="I130" t="n">
        <v>11.5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28420-2026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46322</v>
      </c>
      <c r="F131" t="inlineStr">
        <is>
          <t>VÄSTRA GÖTALANDS LÄN</t>
        </is>
      </c>
      <c r="G131" t="inlineStr">
        <is>
          <t>VÄNERSBORG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44980</v>
      </c>
      <c r="E132" s="1" t="n">
        <v>46322</v>
      </c>
      <c r="F132" t="inlineStr">
        <is>
          <t>VÄSTRA GÖTALANDS LÄN</t>
        </is>
      </c>
      <c r="G132" t="inlineStr">
        <is>
          <t>VÄNERSBORG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46322</v>
      </c>
      <c r="F133" t="inlineStr">
        <is>
          <t>VÄSTRA GÖTALANDS LÄN</t>
        </is>
      </c>
      <c r="G133" t="inlineStr">
        <is>
          <t>VÄNERSBORG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46322</v>
      </c>
      <c r="F134" t="inlineStr">
        <is>
          <t>VÄSTRA GÖTALANDS LÄN</t>
        </is>
      </c>
      <c r="G134" t="inlineStr">
        <is>
          <t>VÄNERSBORG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46322</v>
      </c>
      <c r="F135" t="inlineStr">
        <is>
          <t>VÄSTRA GÖTALANDS LÄN</t>
        </is>
      </c>
      <c r="G135" t="inlineStr">
        <is>
          <t>VÄNERSBORG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46322</v>
      </c>
      <c r="F136" t="inlineStr">
        <is>
          <t>VÄSTRA GÖTALANDS LÄN</t>
        </is>
      </c>
      <c r="G136" t="inlineStr">
        <is>
          <t>VÄNERSBORG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46322</v>
      </c>
      <c r="F137" t="inlineStr">
        <is>
          <t>VÄSTRA GÖTALANDS LÄN</t>
        </is>
      </c>
      <c r="G137" t="inlineStr">
        <is>
          <t>VÄNERSBORG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46322</v>
      </c>
      <c r="F138" t="inlineStr">
        <is>
          <t>VÄSTRA GÖTALANDS LÄN</t>
        </is>
      </c>
      <c r="G138" t="inlineStr">
        <is>
          <t>VÄNERSBORG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45328</v>
      </c>
      <c r="E139" s="1" t="n">
        <v>46322</v>
      </c>
      <c r="F139" t="inlineStr">
        <is>
          <t>VÄSTRA GÖTALANDS LÄN</t>
        </is>
      </c>
      <c r="G139" t="inlineStr">
        <is>
          <t>VÄNERSBORG</t>
        </is>
      </c>
      <c r="H139" t="inlineStr">
        <is>
          <t>Kommuner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45603</v>
      </c>
      <c r="E140" s="1" t="n">
        <v>46322</v>
      </c>
      <c r="F140" t="inlineStr">
        <is>
          <t>VÄSTRA GÖTALANDS LÄN</t>
        </is>
      </c>
      <c r="G140" t="inlineStr">
        <is>
          <t>VÄNERSBORG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24107-2024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45456</v>
      </c>
      <c r="E141" s="1" t="n">
        <v>46322</v>
      </c>
      <c r="F141" t="inlineStr">
        <is>
          <t>VÄSTRA GÖTALANDS LÄN</t>
        </is>
      </c>
      <c r="G141" t="inlineStr">
        <is>
          <t>VÄNERSBORG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11817-2025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46322</v>
      </c>
      <c r="F142" t="inlineStr">
        <is>
          <t>VÄSTRA GÖTALANDS LÄN</t>
        </is>
      </c>
      <c r="G142" t="inlineStr">
        <is>
          <t>VÄNERSBORG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45419</v>
      </c>
      <c r="E143" s="1" t="n">
        <v>46322</v>
      </c>
      <c r="F143" t="inlineStr">
        <is>
          <t>VÄSTRA GÖTALANDS LÄN</t>
        </is>
      </c>
      <c r="G143" t="inlineStr">
        <is>
          <t>VÄNERSBORG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46322</v>
      </c>
      <c r="F144" t="inlineStr">
        <is>
          <t>VÄSTRA GÖTALANDS LÄN</t>
        </is>
      </c>
      <c r="G144" t="inlineStr">
        <is>
          <t>VÄNERSBORG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45062</v>
      </c>
      <c r="E145" s="1" t="n">
        <v>46322</v>
      </c>
      <c r="F145" t="inlineStr">
        <is>
          <t>VÄSTRA GÖTALANDS LÄN</t>
        </is>
      </c>
      <c r="G145" t="inlineStr">
        <is>
          <t>VÄNERSBORG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46024</v>
      </c>
      <c r="E146" s="1" t="n">
        <v>46322</v>
      </c>
      <c r="F146" t="inlineStr">
        <is>
          <t>VÄSTRA GÖTALANDS LÄN</t>
        </is>
      </c>
      <c r="G146" t="inlineStr">
        <is>
          <t>VÄNERSBORG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46322</v>
      </c>
      <c r="F147" t="inlineStr">
        <is>
          <t>VÄSTRA GÖTALANDS LÄN</t>
        </is>
      </c>
      <c r="G147" t="inlineStr">
        <is>
          <t>VÄNERSBORG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45058</v>
      </c>
      <c r="E148" s="1" t="n">
        <v>46322</v>
      </c>
      <c r="F148" t="inlineStr">
        <is>
          <t>VÄSTRA GÖTALANDS LÄN</t>
        </is>
      </c>
      <c r="G148" t="inlineStr">
        <is>
          <t>VÄNERSBORG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46322</v>
      </c>
      <c r="F149" t="inlineStr">
        <is>
          <t>VÄSTRA GÖTALANDS LÄN</t>
        </is>
      </c>
      <c r="G149" t="inlineStr">
        <is>
          <t>VÄNERSBORG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46203</v>
      </c>
      <c r="E150" s="1" t="n">
        <v>46322</v>
      </c>
      <c r="F150" t="inlineStr">
        <is>
          <t>VÄSTRA GÖTALANDS LÄN</t>
        </is>
      </c>
      <c r="G150" t="inlineStr">
        <is>
          <t>VÄNERSBORG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46322</v>
      </c>
      <c r="F151" t="inlineStr">
        <is>
          <t>VÄSTRA GÖTALANDS LÄN</t>
        </is>
      </c>
      <c r="G151" t="inlineStr">
        <is>
          <t>VÄNERSBORG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63509-2023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45274</v>
      </c>
      <c r="E152" s="1" t="n">
        <v>46322</v>
      </c>
      <c r="F152" t="inlineStr">
        <is>
          <t>VÄSTRA GÖTALANDS LÄN</t>
        </is>
      </c>
      <c r="G152" t="inlineStr">
        <is>
          <t>VÄNERSBORG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46322</v>
      </c>
      <c r="F153" t="inlineStr">
        <is>
          <t>VÄSTRA GÖTALANDS LÄN</t>
        </is>
      </c>
      <c r="G153" t="inlineStr">
        <is>
          <t>VÄNERSBORG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46322</v>
      </c>
      <c r="F154" t="inlineStr">
        <is>
          <t>VÄSTRA GÖTALANDS LÄN</t>
        </is>
      </c>
      <c r="G154" t="inlineStr">
        <is>
          <t>VÄNERSBORG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46322</v>
      </c>
      <c r="F155" t="inlineStr">
        <is>
          <t>VÄSTRA GÖTALANDS LÄN</t>
        </is>
      </c>
      <c r="G155" t="inlineStr">
        <is>
          <t>VÄNERSBORG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45804</v>
      </c>
      <c r="E156" s="1" t="n">
        <v>46322</v>
      </c>
      <c r="F156" t="inlineStr">
        <is>
          <t>VÄSTRA GÖTALANDS LÄN</t>
        </is>
      </c>
      <c r="G156" t="inlineStr">
        <is>
          <t>VÄNERSBORG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45215</v>
      </c>
      <c r="E157" s="1" t="n">
        <v>46322</v>
      </c>
      <c r="F157" t="inlineStr">
        <is>
          <t>VÄSTRA GÖTALANDS LÄN</t>
        </is>
      </c>
      <c r="G157" t="inlineStr">
        <is>
          <t>VÄNERSBORG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46322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46035</v>
      </c>
      <c r="E159" s="1" t="n">
        <v>46322</v>
      </c>
      <c r="F159" t="inlineStr">
        <is>
          <t>VÄSTRA GÖTALANDS LÄN</t>
        </is>
      </c>
      <c r="G159" t="inlineStr">
        <is>
          <t>VÄNERSBORG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31051-2022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46322</v>
      </c>
      <c r="F160" t="inlineStr">
        <is>
          <t>VÄSTRA GÖTALANDS LÄN</t>
        </is>
      </c>
      <c r="G160" t="inlineStr">
        <is>
          <t>VÄNERSBORG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46322</v>
      </c>
      <c r="F161" t="inlineStr">
        <is>
          <t>VÄSTRA GÖTALANDS LÄN</t>
        </is>
      </c>
      <c r="G161" t="inlineStr">
        <is>
          <t>VÄNERSBORG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46322</v>
      </c>
      <c r="F162" t="inlineStr">
        <is>
          <t>VÄSTRA GÖTALANDS LÄN</t>
        </is>
      </c>
      <c r="G162" t="inlineStr">
        <is>
          <t>VÄNERSBORG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46209</v>
      </c>
      <c r="E163" s="1" t="n">
        <v>46322</v>
      </c>
      <c r="F163" t="inlineStr">
        <is>
          <t>VÄSTRA GÖTALANDS LÄN</t>
        </is>
      </c>
      <c r="G163" t="inlineStr">
        <is>
          <t>VÄNERSBORG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45399</v>
      </c>
      <c r="E164" s="1" t="n">
        <v>46322</v>
      </c>
      <c r="F164" t="inlineStr">
        <is>
          <t>VÄSTRA GÖTALANDS LÄN</t>
        </is>
      </c>
      <c r="G164" t="inlineStr">
        <is>
          <t>VÄNERSBORG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45390</v>
      </c>
      <c r="E165" s="1" t="n">
        <v>46322</v>
      </c>
      <c r="F165" t="inlineStr">
        <is>
          <t>VÄSTRA GÖTALANDS LÄN</t>
        </is>
      </c>
      <c r="G165" t="inlineStr">
        <is>
          <t>VÄNERSBORG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9289-2026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46070</v>
      </c>
      <c r="E166" s="1" t="n">
        <v>46322</v>
      </c>
      <c r="F166" t="inlineStr">
        <is>
          <t>VÄSTRA GÖTALANDS LÄN</t>
        </is>
      </c>
      <c r="G166" t="inlineStr">
        <is>
          <t>VÄNERSBORG</t>
        </is>
      </c>
      <c r="H166" t="inlineStr">
        <is>
          <t>Kommuner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45134</v>
      </c>
      <c r="E167" s="1" t="n">
        <v>46322</v>
      </c>
      <c r="F167" t="inlineStr">
        <is>
          <t>VÄSTRA GÖTALANDS LÄN</t>
        </is>
      </c>
      <c r="G167" t="inlineStr">
        <is>
          <t>VÄNERSBORG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45337</v>
      </c>
      <c r="E168" s="1" t="n">
        <v>46322</v>
      </c>
      <c r="F168" t="inlineStr">
        <is>
          <t>VÄSTRA GÖTALANDS LÄN</t>
        </is>
      </c>
      <c r="G168" t="inlineStr">
        <is>
          <t>VÄNERSBORG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45602</v>
      </c>
      <c r="E169" s="1" t="n">
        <v>46322</v>
      </c>
      <c r="F169" t="inlineStr">
        <is>
          <t>VÄSTRA GÖTALANDS LÄN</t>
        </is>
      </c>
      <c r="G169" t="inlineStr">
        <is>
          <t>VÄNERSBORG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46220</v>
      </c>
      <c r="E170" s="1" t="n">
        <v>46322</v>
      </c>
      <c r="F170" t="inlineStr">
        <is>
          <t>VÄSTRA GÖTALANDS LÄN</t>
        </is>
      </c>
      <c r="G170" t="inlineStr">
        <is>
          <t>VÄNERSBORG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46322</v>
      </c>
      <c r="F171" t="inlineStr">
        <is>
          <t>VÄSTRA GÖTALANDS LÄN</t>
        </is>
      </c>
      <c r="G171" t="inlineStr">
        <is>
          <t>VÄNERSBORG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46322</v>
      </c>
      <c r="F172" t="inlineStr">
        <is>
          <t>VÄSTRA GÖTALANDS LÄN</t>
        </is>
      </c>
      <c r="G172" t="inlineStr">
        <is>
          <t>VÄNERSBORG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46220</v>
      </c>
      <c r="E173" s="1" t="n">
        <v>46322</v>
      </c>
      <c r="F173" t="inlineStr">
        <is>
          <t>VÄSTRA GÖTALANDS LÄN</t>
        </is>
      </c>
      <c r="G173" t="inlineStr">
        <is>
          <t>VÄNERSBORG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46224</v>
      </c>
      <c r="E174" s="1" t="n">
        <v>46322</v>
      </c>
      <c r="F174" t="inlineStr">
        <is>
          <t>VÄSTRA GÖTALANDS LÄN</t>
        </is>
      </c>
      <c r="G174" t="inlineStr">
        <is>
          <t>VÄNERSBORG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46224</v>
      </c>
      <c r="E175" s="1" t="n">
        <v>46322</v>
      </c>
      <c r="F175" t="inlineStr">
        <is>
          <t>VÄSTRA GÖTALANDS LÄN</t>
        </is>
      </c>
      <c r="G175" t="inlineStr">
        <is>
          <t>VÄNERSBORG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45134</v>
      </c>
      <c r="E176" s="1" t="n">
        <v>46322</v>
      </c>
      <c r="F176" t="inlineStr">
        <is>
          <t>VÄSTRA GÖTALANDS LÄN</t>
        </is>
      </c>
      <c r="G176" t="inlineStr">
        <is>
          <t>VÄNERSBORG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45571</v>
      </c>
      <c r="E177" s="1" t="n">
        <v>46322</v>
      </c>
      <c r="F177" t="inlineStr">
        <is>
          <t>VÄSTRA GÖTALANDS LÄN</t>
        </is>
      </c>
      <c r="G177" t="inlineStr">
        <is>
          <t>VÄNERSBORG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45589</v>
      </c>
      <c r="E178" s="1" t="n">
        <v>46322</v>
      </c>
      <c r="F178" t="inlineStr">
        <is>
          <t>VÄSTRA GÖTALANDS LÄN</t>
        </is>
      </c>
      <c r="G178" t="inlineStr">
        <is>
          <t>VÄNERSBORG</t>
        </is>
      </c>
      <c r="I178" t="n">
        <v>42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16747-2023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46322</v>
      </c>
      <c r="F179" t="inlineStr">
        <is>
          <t>VÄSTRA GÖTALANDS LÄN</t>
        </is>
      </c>
      <c r="G179" t="inlineStr">
        <is>
          <t>VÄNERSBORG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13491-2026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46322</v>
      </c>
      <c r="F180" t="inlineStr">
        <is>
          <t>VÄSTRA GÖTALANDS LÄN</t>
        </is>
      </c>
      <c r="G180" t="inlineStr">
        <is>
          <t>VÄNERSBORG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46322</v>
      </c>
      <c r="F181" t="inlineStr">
        <is>
          <t>VÄSTRA GÖTALANDS LÄN</t>
        </is>
      </c>
      <c r="G181" t="inlineStr">
        <is>
          <t>VÄNERSBORG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46104</v>
      </c>
      <c r="E182" s="1" t="n">
        <v>46322</v>
      </c>
      <c r="F182" t="inlineStr">
        <is>
          <t>VÄSTRA GÖTALANDS LÄN</t>
        </is>
      </c>
      <c r="G182" t="inlineStr">
        <is>
          <t>VÄNERSBORG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46322</v>
      </c>
      <c r="F183" t="inlineStr">
        <is>
          <t>VÄSTRA GÖTALANDS LÄN</t>
        </is>
      </c>
      <c r="G183" t="inlineStr">
        <is>
          <t>VÄNERSBORG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46322</v>
      </c>
      <c r="F184" t="inlineStr">
        <is>
          <t>VÄSTRA GÖTALANDS LÄN</t>
        </is>
      </c>
      <c r="G184" t="inlineStr">
        <is>
          <t>VÄNERSBORG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46322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11439-2022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44630</v>
      </c>
      <c r="E186" s="1" t="n">
        <v>46322</v>
      </c>
      <c r="F186" t="inlineStr">
        <is>
          <t>VÄSTRA GÖTALANDS LÄN</t>
        </is>
      </c>
      <c r="G186" t="inlineStr">
        <is>
          <t>VÄNERSBORG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73226-2021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46322</v>
      </c>
      <c r="F187" t="inlineStr">
        <is>
          <t>VÄSTRA GÖTALANDS LÄN</t>
        </is>
      </c>
      <c r="G187" t="inlineStr">
        <is>
          <t>VÄNERSBORG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46322</v>
      </c>
      <c r="F188" t="inlineStr">
        <is>
          <t>VÄSTRA GÖTALANDS LÄN</t>
        </is>
      </c>
      <c r="G188" t="inlineStr">
        <is>
          <t>VÄNERSBORG</t>
        </is>
      </c>
      <c r="H188" t="inlineStr">
        <is>
          <t>Kommuner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46322</v>
      </c>
      <c r="F189" t="inlineStr">
        <is>
          <t>VÄSTRA GÖTALANDS LÄN</t>
        </is>
      </c>
      <c r="G189" t="inlineStr">
        <is>
          <t>VÄNERSBORG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17334-2026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46119</v>
      </c>
      <c r="E190" s="1" t="n">
        <v>46322</v>
      </c>
      <c r="F190" t="inlineStr">
        <is>
          <t>VÄSTRA GÖTALANDS LÄN</t>
        </is>
      </c>
      <c r="G190" t="inlineStr">
        <is>
          <t>VÄNERSBORG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17871-2024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45419</v>
      </c>
      <c r="E191" s="1" t="n">
        <v>46322</v>
      </c>
      <c r="F191" t="inlineStr">
        <is>
          <t>VÄSTRA GÖTALANDS LÄN</t>
        </is>
      </c>
      <c r="G191" t="inlineStr">
        <is>
          <t>VÄNERSBORG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15309-2022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44659</v>
      </c>
      <c r="E192" s="1" t="n">
        <v>46322</v>
      </c>
      <c r="F192" t="inlineStr">
        <is>
          <t>VÄSTRA GÖTALANDS LÄN</t>
        </is>
      </c>
      <c r="G192" t="inlineStr">
        <is>
          <t>VÄNERSBORG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46322</v>
      </c>
      <c r="F193" t="inlineStr">
        <is>
          <t>VÄSTRA GÖTALANDS LÄN</t>
        </is>
      </c>
      <c r="G193" t="inlineStr">
        <is>
          <t>VÄNERSBORG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46322</v>
      </c>
      <c r="F194" t="inlineStr">
        <is>
          <t>VÄSTRA GÖTALANDS LÄN</t>
        </is>
      </c>
      <c r="G194" t="inlineStr">
        <is>
          <t>VÄNERSBORG</t>
        </is>
      </c>
      <c r="I194" t="n">
        <v>11.5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46322</v>
      </c>
      <c r="F195" t="inlineStr">
        <is>
          <t>VÄSTRA GÖTALANDS LÄN</t>
        </is>
      </c>
      <c r="G195" t="inlineStr">
        <is>
          <t>VÄNERSBORG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65120-2023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45287</v>
      </c>
      <c r="E196" s="1" t="n">
        <v>46322</v>
      </c>
      <c r="F196" t="inlineStr">
        <is>
          <t>VÄSTRA GÖTALANDS LÄN</t>
        </is>
      </c>
      <c r="G196" t="inlineStr">
        <is>
          <t>VÄNERSBORG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46128</v>
      </c>
      <c r="E197" s="1" t="n">
        <v>46322</v>
      </c>
      <c r="F197" t="inlineStr">
        <is>
          <t>VÄSTRA GÖTALANDS LÄN</t>
        </is>
      </c>
      <c r="G197" t="inlineStr">
        <is>
          <t>VÄNERSBORG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46239</v>
      </c>
      <c r="E198" s="1" t="n">
        <v>46322</v>
      </c>
      <c r="F198" t="inlineStr">
        <is>
          <t>VÄSTRA GÖTALANDS LÄN</t>
        </is>
      </c>
      <c r="G198" t="inlineStr">
        <is>
          <t>VÄNERSBORG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45001</v>
      </c>
      <c r="E199" s="1" t="n">
        <v>46322</v>
      </c>
      <c r="F199" t="inlineStr">
        <is>
          <t>VÄSTRA GÖTALANDS LÄN</t>
        </is>
      </c>
      <c r="G199" t="inlineStr">
        <is>
          <t>VÄNERSBORG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46322</v>
      </c>
      <c r="F200" t="inlineStr">
        <is>
          <t>VÄSTRA GÖTALANDS LÄN</t>
        </is>
      </c>
      <c r="G200" t="inlineStr">
        <is>
          <t>VÄNERSBORG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46322</v>
      </c>
      <c r="F201" t="inlineStr">
        <is>
          <t>VÄSTRA GÖTALANDS LÄN</t>
        </is>
      </c>
      <c r="G201" t="inlineStr">
        <is>
          <t>VÄNERSBORG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46322</v>
      </c>
      <c r="F202" t="inlineStr">
        <is>
          <t>VÄSTRA GÖTALANDS LÄN</t>
        </is>
      </c>
      <c r="G202" t="inlineStr">
        <is>
          <t>VÄNERSBORG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46286</v>
      </c>
      <c r="E203" s="1" t="n">
        <v>46322</v>
      </c>
      <c r="F203" t="inlineStr">
        <is>
          <t>VÄSTRA GÖTALANDS LÄN</t>
        </is>
      </c>
      <c r="G203" t="inlineStr">
        <is>
          <t>VÄNERSBORG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45382</v>
      </c>
      <c r="E204" s="1" t="n">
        <v>46322</v>
      </c>
      <c r="F204" t="inlineStr">
        <is>
          <t>VÄSTRA GÖTALANDS LÄN</t>
        </is>
      </c>
      <c r="G204" t="inlineStr">
        <is>
          <t>VÄNERSBORG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46322</v>
      </c>
      <c r="F205" t="inlineStr">
        <is>
          <t>VÄSTRA GÖTALANDS LÄN</t>
        </is>
      </c>
      <c r="G205" t="inlineStr">
        <is>
          <t>VÄNERSBORG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46322</v>
      </c>
      <c r="F206" t="inlineStr">
        <is>
          <t>VÄSTRA GÖTALANDS LÄN</t>
        </is>
      </c>
      <c r="G206" t="inlineStr">
        <is>
          <t>VÄNERSBORG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46322</v>
      </c>
      <c r="F207" t="inlineStr">
        <is>
          <t>VÄSTRA GÖTALANDS LÄN</t>
        </is>
      </c>
      <c r="G207" t="inlineStr">
        <is>
          <t>VÄNERSBORG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46322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46322</v>
      </c>
      <c r="F209" t="inlineStr">
        <is>
          <t>VÄSTRA GÖTALANDS LÄN</t>
        </is>
      </c>
      <c r="G209" t="inlineStr">
        <is>
          <t>VÄNERSBORG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45250</v>
      </c>
      <c r="E210" s="1" t="n">
        <v>46322</v>
      </c>
      <c r="F210" t="inlineStr">
        <is>
          <t>VÄSTRA GÖTALANDS LÄN</t>
        </is>
      </c>
      <c r="G210" t="inlineStr">
        <is>
          <t>VÄNERSBORG</t>
        </is>
      </c>
      <c r="I210" t="n">
        <v>19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64606-2023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46322</v>
      </c>
      <c r="F211" t="inlineStr">
        <is>
          <t>VÄSTRA GÖTALANDS LÄN</t>
        </is>
      </c>
      <c r="G211" t="inlineStr">
        <is>
          <t>VÄNERSBORG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46246</v>
      </c>
      <c r="E212" s="1" t="n">
        <v>46322</v>
      </c>
      <c r="F212" t="inlineStr">
        <is>
          <t>VÄSTRA GÖTALANDS LÄN</t>
        </is>
      </c>
      <c r="G212" t="inlineStr">
        <is>
          <t>VÄNERSBORG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46141</v>
      </c>
      <c r="E213" s="1" t="n">
        <v>46322</v>
      </c>
      <c r="F213" t="inlineStr">
        <is>
          <t>VÄSTRA GÖTALANDS LÄN</t>
        </is>
      </c>
      <c r="G213" t="inlineStr">
        <is>
          <t>VÄNERSBORG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46322</v>
      </c>
      <c r="F214" t="inlineStr">
        <is>
          <t>VÄSTRA GÖTALANDS LÄN</t>
        </is>
      </c>
      <c r="G214" t="inlineStr">
        <is>
          <t>VÄNERSBORG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46322</v>
      </c>
      <c r="F215" t="inlineStr">
        <is>
          <t>VÄSTRA GÖTALANDS LÄN</t>
        </is>
      </c>
      <c r="G215" t="inlineStr">
        <is>
          <t>VÄNERSBORG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16551-2024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45408</v>
      </c>
      <c r="E216" s="1" t="n">
        <v>46322</v>
      </c>
      <c r="F216" t="inlineStr">
        <is>
          <t>VÄSTRA GÖTALANDS LÄN</t>
        </is>
      </c>
      <c r="G216" t="inlineStr">
        <is>
          <t>VÄNERSBORG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45475</v>
      </c>
      <c r="E217" s="1" t="n">
        <v>46322</v>
      </c>
      <c r="F217" t="inlineStr">
        <is>
          <t>VÄSTRA GÖTALANDS LÄN</t>
        </is>
      </c>
      <c r="G217" t="inlineStr">
        <is>
          <t>VÄNERSBORG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46322</v>
      </c>
      <c r="F218" t="inlineStr">
        <is>
          <t>VÄSTRA GÖTALANDS LÄN</t>
        </is>
      </c>
      <c r="G218" t="inlineStr">
        <is>
          <t>VÄNERSBORG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46322</v>
      </c>
      <c r="F219" t="inlineStr">
        <is>
          <t>VÄSTRA GÖTALANDS LÄN</t>
        </is>
      </c>
      <c r="G219" t="inlineStr">
        <is>
          <t>VÄNERSBORG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46247</v>
      </c>
      <c r="E220" s="1" t="n">
        <v>46322</v>
      </c>
      <c r="F220" t="inlineStr">
        <is>
          <t>VÄSTRA GÖTALANDS LÄN</t>
        </is>
      </c>
      <c r="G220" t="inlineStr">
        <is>
          <t>VÄNERSBORG</t>
        </is>
      </c>
      <c r="I220" t="n">
        <v>11.1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46322</v>
      </c>
      <c r="F221" t="inlineStr">
        <is>
          <t>VÄSTRA GÖTALANDS LÄN</t>
        </is>
      </c>
      <c r="G221" t="inlineStr">
        <is>
          <t>VÄNERSBORG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46322</v>
      </c>
      <c r="F222" t="inlineStr">
        <is>
          <t>VÄSTRA GÖTALANDS LÄN</t>
        </is>
      </c>
      <c r="G222" t="inlineStr">
        <is>
          <t>VÄNERSBORG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46322</v>
      </c>
      <c r="F223" t="inlineStr">
        <is>
          <t>VÄSTRA GÖTALANDS LÄN</t>
        </is>
      </c>
      <c r="G223" t="inlineStr">
        <is>
          <t>VÄNERSBORG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1937-2026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46035</v>
      </c>
      <c r="E224" s="1" t="n">
        <v>46322</v>
      </c>
      <c r="F224" t="inlineStr">
        <is>
          <t>VÄSTRA GÖTALANDS LÄN</t>
        </is>
      </c>
      <c r="G224" t="inlineStr">
        <is>
          <t>VÄNERSBORG</t>
        </is>
      </c>
      <c r="H224" t="inlineStr">
        <is>
          <t>Kommuner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46322</v>
      </c>
      <c r="F225" t="inlineStr">
        <is>
          <t>VÄSTRA GÖTALANDS LÄN</t>
        </is>
      </c>
      <c r="G225" t="inlineStr">
        <is>
          <t>VÄNERSBORG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44746</v>
      </c>
      <c r="E226" s="1" t="n">
        <v>46322</v>
      </c>
      <c r="F226" t="inlineStr">
        <is>
          <t>VÄSTRA GÖTALANDS LÄN</t>
        </is>
      </c>
      <c r="G226" t="inlineStr">
        <is>
          <t>VÄNERSBORG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45427</v>
      </c>
      <c r="E227" s="1" t="n">
        <v>46322</v>
      </c>
      <c r="F227" t="inlineStr">
        <is>
          <t>VÄSTRA GÖTALANDS LÄN</t>
        </is>
      </c>
      <c r="G227" t="inlineStr">
        <is>
          <t>VÄNERSBORG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46322</v>
      </c>
      <c r="F228" t="inlineStr">
        <is>
          <t>VÄSTRA GÖTALANDS LÄN</t>
        </is>
      </c>
      <c r="G228" t="inlineStr">
        <is>
          <t>VÄNERSBORG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45057</v>
      </c>
      <c r="E229" s="1" t="n">
        <v>46322</v>
      </c>
      <c r="F229" t="inlineStr">
        <is>
          <t>VÄSTRA GÖTALANDS LÄN</t>
        </is>
      </c>
      <c r="G229" t="inlineStr">
        <is>
          <t>VÄNERSBORG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44747</v>
      </c>
      <c r="E230" s="1" t="n">
        <v>46322</v>
      </c>
      <c r="F230" t="inlineStr">
        <is>
          <t>VÄSTRA GÖTALANDS LÄN</t>
        </is>
      </c>
      <c r="G230" t="inlineStr">
        <is>
          <t>VÄNERSBORG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44978</v>
      </c>
      <c r="E231" s="1" t="n">
        <v>46322</v>
      </c>
      <c r="F231" t="inlineStr">
        <is>
          <t>VÄSTRA GÖTALANDS LÄN</t>
        </is>
      </c>
      <c r="G231" t="inlineStr">
        <is>
          <t>VÄNERSBORG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46322</v>
      </c>
      <c r="F232" t="inlineStr">
        <is>
          <t>VÄSTRA GÖTALANDS LÄN</t>
        </is>
      </c>
      <c r="G232" t="inlineStr">
        <is>
          <t>VÄNERSBORG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46322</v>
      </c>
      <c r="F233" t="inlineStr">
        <is>
          <t>VÄSTRA GÖTALANDS LÄN</t>
        </is>
      </c>
      <c r="G233" t="inlineStr">
        <is>
          <t>VÄNERSBORG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45034</v>
      </c>
      <c r="E234" s="1" t="n">
        <v>46322</v>
      </c>
      <c r="F234" t="inlineStr">
        <is>
          <t>VÄSTRA GÖTALANDS LÄN</t>
        </is>
      </c>
      <c r="G234" t="inlineStr">
        <is>
          <t>VÄNERSBORG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45582</v>
      </c>
      <c r="E235" s="1" t="n">
        <v>46322</v>
      </c>
      <c r="F235" t="inlineStr">
        <is>
          <t>VÄSTRA GÖTALANDS LÄN</t>
        </is>
      </c>
      <c r="G235" t="inlineStr">
        <is>
          <t>VÄNERSBORG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46322</v>
      </c>
      <c r="F236" t="inlineStr">
        <is>
          <t>VÄSTRA GÖTALANDS LÄN</t>
        </is>
      </c>
      <c r="G236" t="inlineStr">
        <is>
          <t>VÄNERSBORG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18715-2023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45043</v>
      </c>
      <c r="E237" s="1" t="n">
        <v>46322</v>
      </c>
      <c r="F237" t="inlineStr">
        <is>
          <t>VÄSTRA GÖTALANDS LÄN</t>
        </is>
      </c>
      <c r="G237" t="inlineStr">
        <is>
          <t>VÄNERSBORG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46322</v>
      </c>
      <c r="F238" t="inlineStr">
        <is>
          <t>VÄSTRA GÖTALANDS LÄN</t>
        </is>
      </c>
      <c r="G238" t="inlineStr">
        <is>
          <t>VÄNERSBORG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24769-2026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46171</v>
      </c>
      <c r="E239" s="1" t="n">
        <v>46322</v>
      </c>
      <c r="F239" t="inlineStr">
        <is>
          <t>VÄSTRA GÖTALANDS LÄN</t>
        </is>
      </c>
      <c r="G239" t="inlineStr">
        <is>
          <t>VÄNERSBORG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14798-2024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45397</v>
      </c>
      <c r="E240" s="1" t="n">
        <v>46322</v>
      </c>
      <c r="F240" t="inlineStr">
        <is>
          <t>VÄSTRA GÖTALANDS LÄN</t>
        </is>
      </c>
      <c r="G240" t="inlineStr">
        <is>
          <t>VÄNERSBORG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  <c r="Z240">
        <f>HYPERLINK("https://klasma.github.io/Logging_1487/knärot/A 14798-2024 karta knärot.png", "A 14798-2024")</f>
        <v/>
      </c>
      <c r="AA240">
        <f>HYPERLINK("https://klasma.github.io/Logging_1487/klagomål/A 14798-2024 FSC-klagomål.docx", "A 14798-2024")</f>
        <v/>
      </c>
      <c r="AB240">
        <f>HYPERLINK("https://klasma.github.io/Logging_1487/klagomålsmail/A 14798-2024 FSC-klagomål mail.docx", "A 14798-2024")</f>
        <v/>
      </c>
      <c r="AC240">
        <f>HYPERLINK("https://klasma.github.io/Logging_1487/tillsyn/A 14798-2024 tillsynsbegäran.docx", "A 14798-2024")</f>
        <v/>
      </c>
      <c r="AD240">
        <f>HYPERLINK("https://klasma.github.io/Logging_1487/tillsynsmail/A 14798-2024 tillsynsbegäran mail.docx", "A 14798-2024")</f>
        <v/>
      </c>
    </row>
    <row r="241" ht="15" customHeight="1">
      <c r="A241" t="inlineStr">
        <is>
          <t>A 19051-2023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45047</v>
      </c>
      <c r="E241" s="1" t="n">
        <v>46322</v>
      </c>
      <c r="F241" t="inlineStr">
        <is>
          <t>VÄSTRA GÖTALANDS LÄN</t>
        </is>
      </c>
      <c r="G241" t="inlineStr">
        <is>
          <t>VÄNERSBORG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45256</v>
      </c>
      <c r="E242" s="1" t="n">
        <v>46322</v>
      </c>
      <c r="F242" t="inlineStr">
        <is>
          <t>VÄSTRA GÖTALANDS LÄN</t>
        </is>
      </c>
      <c r="G242" t="inlineStr">
        <is>
          <t>VÄNERSBORG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46322</v>
      </c>
      <c r="F243" t="inlineStr">
        <is>
          <t>VÄSTRA GÖTALANDS LÄN</t>
        </is>
      </c>
      <c r="G243" t="inlineStr">
        <is>
          <t>VÄNERSBORG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45134</v>
      </c>
      <c r="E244" s="1" t="n">
        <v>46322</v>
      </c>
      <c r="F244" t="inlineStr">
        <is>
          <t>VÄSTRA GÖTALANDS LÄN</t>
        </is>
      </c>
      <c r="G244" t="inlineStr">
        <is>
          <t>VÄNERSBORG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46300</v>
      </c>
      <c r="E245" s="1" t="n">
        <v>46322</v>
      </c>
      <c r="F245" t="inlineStr">
        <is>
          <t>VÄSTRA GÖTALANDS LÄN</t>
        </is>
      </c>
      <c r="G245" t="inlineStr">
        <is>
          <t>VÄNERSBORG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46322</v>
      </c>
      <c r="F246" t="inlineStr">
        <is>
          <t>VÄSTRA GÖTALANDS LÄN</t>
        </is>
      </c>
      <c r="G246" t="inlineStr">
        <is>
          <t>VÄNERSBORG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46322</v>
      </c>
      <c r="F247" t="inlineStr">
        <is>
          <t>VÄSTRA GÖTALANDS LÄN</t>
        </is>
      </c>
      <c r="G247" t="inlineStr">
        <is>
          <t>VÄNERSBORG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44645</v>
      </c>
      <c r="E248" s="1" t="n">
        <v>46322</v>
      </c>
      <c r="F248" t="inlineStr">
        <is>
          <t>VÄSTRA GÖTALANDS LÄN</t>
        </is>
      </c>
      <c r="G248" t="inlineStr">
        <is>
          <t>VÄNERSBORG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46322</v>
      </c>
      <c r="F249" t="inlineStr">
        <is>
          <t>VÄSTRA GÖTALANDS LÄN</t>
        </is>
      </c>
      <c r="G249" t="inlineStr">
        <is>
          <t>VÄNERSBORG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46308</v>
      </c>
      <c r="E250" s="1" t="n">
        <v>46322</v>
      </c>
      <c r="F250" t="inlineStr">
        <is>
          <t>VÄSTRA GÖTALANDS LÄN</t>
        </is>
      </c>
      <c r="G250" t="inlineStr">
        <is>
          <t>VÄNERSBORG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46308</v>
      </c>
      <c r="E251" s="1" t="n">
        <v>46322</v>
      </c>
      <c r="F251" t="inlineStr">
        <is>
          <t>VÄSTRA GÖTALANDS LÄN</t>
        </is>
      </c>
      <c r="G251" t="inlineStr">
        <is>
          <t>VÄNERSBORG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46322</v>
      </c>
      <c r="F252" t="inlineStr">
        <is>
          <t>VÄSTRA GÖTALANDS LÄN</t>
        </is>
      </c>
      <c r="G252" t="inlineStr">
        <is>
          <t>VÄNERSBORG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46322</v>
      </c>
      <c r="F253" t="inlineStr">
        <is>
          <t>VÄSTRA GÖTALANDS LÄN</t>
        </is>
      </c>
      <c r="G253" t="inlineStr">
        <is>
          <t>VÄNERSBORG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46322</v>
      </c>
      <c r="F254" t="inlineStr">
        <is>
          <t>VÄSTRA GÖTALANDS LÄN</t>
        </is>
      </c>
      <c r="G254" t="inlineStr">
        <is>
          <t>VÄNERSBORG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46322</v>
      </c>
      <c r="F255" t="inlineStr">
        <is>
          <t>VÄSTRA GÖTALANDS LÄN</t>
        </is>
      </c>
      <c r="G255" t="inlineStr">
        <is>
          <t>VÄNERSBORG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42878-2026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46310</v>
      </c>
      <c r="E256" s="1" t="n">
        <v>46322</v>
      </c>
      <c r="F256" t="inlineStr">
        <is>
          <t>VÄSTRA GÖTALANDS LÄN</t>
        </is>
      </c>
      <c r="G256" t="inlineStr">
        <is>
          <t>VÄNERSBORG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45307</v>
      </c>
      <c r="E257" s="1" t="n">
        <v>46322</v>
      </c>
      <c r="F257" t="inlineStr">
        <is>
          <t>VÄSTRA GÖTALANDS LÄN</t>
        </is>
      </c>
      <c r="G257" t="inlineStr">
        <is>
          <t>VÄNERSBORG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46279</v>
      </c>
      <c r="E258" s="1" t="n">
        <v>46322</v>
      </c>
      <c r="F258" t="inlineStr">
        <is>
          <t>VÄSTRA GÖTALANDS LÄN</t>
        </is>
      </c>
      <c r="G258" t="inlineStr">
        <is>
          <t>VÄNERSBORG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46322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46322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46322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2026-10-27T03:10:16Z</dcterms:created>
  <dcterms:modified xmlns:dcterms="http://purl.org/dc/terms/" xmlns:xsi="http://www.w3.org/2001/XMLSchema-instance" xsi:type="dcterms:W3CDTF">2026-10-27T03:10:16Z</dcterms:modified>
</cp:coreProperties>
</file>