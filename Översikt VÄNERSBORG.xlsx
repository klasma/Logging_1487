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45890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45890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45890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45890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31985-2025</t>
        </is>
      </c>
      <c r="B6" s="1" t="n">
        <v>45835</v>
      </c>
      <c r="C6" s="1" t="n">
        <v>45890</v>
      </c>
      <c r="D6" t="inlineStr">
        <is>
          <t>VÄSTRA GÖTALANDS LÄN</t>
        </is>
      </c>
      <c r="E6" t="inlineStr">
        <is>
          <t>VÄNERSBORG</t>
        </is>
      </c>
      <c r="G6" t="n">
        <v>16.8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Gullviva</t>
        </is>
      </c>
      <c r="S6">
        <f>HYPERLINK("https://klasma.github.io/Logging_1487/artfynd/A 31985-2025 artfynd.xlsx", "A 31985-2025")</f>
        <v/>
      </c>
      <c r="T6">
        <f>HYPERLINK("https://klasma.github.io/Logging_1487/kartor/A 31985-2025 karta.png", "A 31985-2025")</f>
        <v/>
      </c>
      <c r="V6">
        <f>HYPERLINK("https://klasma.github.io/Logging_1487/klagomål/A 31985-2025 FSC-klagomål.docx", "A 31985-2025")</f>
        <v/>
      </c>
      <c r="W6">
        <f>HYPERLINK("https://klasma.github.io/Logging_1487/klagomålsmail/A 31985-2025 FSC-klagomål mail.docx", "A 31985-2025")</f>
        <v/>
      </c>
      <c r="X6">
        <f>HYPERLINK("https://klasma.github.io/Logging_1487/tillsyn/A 31985-2025 tillsynsbegäran.docx", "A 31985-2025")</f>
        <v/>
      </c>
      <c r="Y6">
        <f>HYPERLINK("https://klasma.github.io/Logging_1487/tillsynsmail/A 31985-2025 tillsynsbegäran mail.docx", "A 31985-2025")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45890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45890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45890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45890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34589-2021</t>
        </is>
      </c>
      <c r="B11" s="1" t="n">
        <v>44382</v>
      </c>
      <c r="C11" s="1" t="n">
        <v>45890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34589-2021 artfynd.xlsx", "A 34589-2021")</f>
        <v/>
      </c>
      <c r="T11">
        <f>HYPERLINK("https://klasma.github.io/Logging_1487/kartor/A 34589-2021 karta.png", "A 34589-2021")</f>
        <v/>
      </c>
      <c r="V11">
        <f>HYPERLINK("https://klasma.github.io/Logging_1487/klagomål/A 34589-2021 FSC-klagomål.docx", "A 34589-2021")</f>
        <v/>
      </c>
      <c r="W11">
        <f>HYPERLINK("https://klasma.github.io/Logging_1487/klagomålsmail/A 34589-2021 FSC-klagomål mail.docx", "A 34589-2021")</f>
        <v/>
      </c>
      <c r="X11">
        <f>HYPERLINK("https://klasma.github.io/Logging_1487/tillsyn/A 34589-2021 tillsynsbegäran.docx", "A 34589-2021")</f>
        <v/>
      </c>
      <c r="Y11">
        <f>HYPERLINK("https://klasma.github.io/Logging_1487/tillsynsmail/A 34589-2021 tillsynsbegäran mail.docx", "A 34589-2021")</f>
        <v/>
      </c>
    </row>
    <row r="12" ht="15" customHeight="1">
      <c r="A12" t="inlineStr">
        <is>
          <t>A 29369-2022</t>
        </is>
      </c>
      <c r="B12" s="1" t="n">
        <v>44753</v>
      </c>
      <c r="C12" s="1" t="n">
        <v>45890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HYPERLINK("https://klasma.github.io/Logging_1487/artfynd/A 29369-2022 artfynd.xlsx", "A 29369-2022")</f>
        <v/>
      </c>
      <c r="T12">
        <f>HYPERLINK("https://klasma.github.io/Logging_1487/kartor/A 29369-2022 karta.png", "A 29369-2022")</f>
        <v/>
      </c>
      <c r="V12">
        <f>HYPERLINK("https://klasma.github.io/Logging_1487/klagomål/A 29369-2022 FSC-klagomål.docx", "A 29369-2022")</f>
        <v/>
      </c>
      <c r="W12">
        <f>HYPERLINK("https://klasma.github.io/Logging_1487/klagomålsmail/A 29369-2022 FSC-klagomål mail.docx", "A 29369-2022")</f>
        <v/>
      </c>
      <c r="X12">
        <f>HYPERLINK("https://klasma.github.io/Logging_1487/tillsyn/A 29369-2022 tillsynsbegäran.docx", "A 29369-2022")</f>
        <v/>
      </c>
      <c r="Y12">
        <f>HYPERLINK("https://klasma.github.io/Logging_1487/tillsynsmail/A 29369-2022 tillsynsbegäran mail.docx", "A 29369-2022")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45890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55617-2023</t>
        </is>
      </c>
      <c r="B14" s="1" t="n">
        <v>45238.82357638889</v>
      </c>
      <c r="C14" s="1" t="n">
        <v>45890</v>
      </c>
      <c r="D14" t="inlineStr">
        <is>
          <t>VÄSTRA GÖTALANDS LÄN</t>
        </is>
      </c>
      <c r="E14" t="inlineStr">
        <is>
          <t>VÄNERSBORG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55617-2023 artfynd.xlsx", "A 55617-2023")</f>
        <v/>
      </c>
      <c r="T14">
        <f>HYPERLINK("https://klasma.github.io/Logging_1487/kartor/A 55617-2023 karta.png", "A 55617-2023")</f>
        <v/>
      </c>
      <c r="V14">
        <f>HYPERLINK("https://klasma.github.io/Logging_1487/klagomål/A 55617-2023 FSC-klagomål.docx", "A 55617-2023")</f>
        <v/>
      </c>
      <c r="W14">
        <f>HYPERLINK("https://klasma.github.io/Logging_1487/klagomålsmail/A 55617-2023 FSC-klagomål mail.docx", "A 55617-2023")</f>
        <v/>
      </c>
      <c r="X14">
        <f>HYPERLINK("https://klasma.github.io/Logging_1487/tillsyn/A 55617-2023 tillsynsbegäran.docx", "A 55617-2023")</f>
        <v/>
      </c>
      <c r="Y14">
        <f>HYPERLINK("https://klasma.github.io/Logging_1487/tillsynsmail/A 55617-2023 tillsynsbegäran mail.docx", "A 55617-2023")</f>
        <v/>
      </c>
    </row>
    <row r="15" ht="15" customHeight="1">
      <c r="A15" t="inlineStr">
        <is>
          <t>A 58292-2023</t>
        </is>
      </c>
      <c r="B15" s="1" t="n">
        <v>45250</v>
      </c>
      <c r="C15" s="1" t="n">
        <v>45890</v>
      </c>
      <c r="D15" t="inlineStr">
        <is>
          <t>VÄSTRA GÖTALANDS LÄN</t>
        </is>
      </c>
      <c r="E15" t="inlineStr">
        <is>
          <t>VÄNERSBORG</t>
        </is>
      </c>
      <c r="G15" t="n">
        <v>19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HYPERLINK("https://klasma.github.io/Logging_1487/artfynd/A 58292-2023 artfynd.xlsx", "A 58292-2023")</f>
        <v/>
      </c>
      <c r="T15">
        <f>HYPERLINK("https://klasma.github.io/Logging_1487/kartor/A 58292-2023 karta.png", "A 58292-2023")</f>
        <v/>
      </c>
      <c r="V15">
        <f>HYPERLINK("https://klasma.github.io/Logging_1487/klagomål/A 58292-2023 FSC-klagomål.docx", "A 58292-2023")</f>
        <v/>
      </c>
      <c r="W15">
        <f>HYPERLINK("https://klasma.github.io/Logging_1487/klagomålsmail/A 58292-2023 FSC-klagomål mail.docx", "A 58292-2023")</f>
        <v/>
      </c>
      <c r="X15">
        <f>HYPERLINK("https://klasma.github.io/Logging_1487/tillsyn/A 58292-2023 tillsynsbegäran.docx", "A 58292-2023")</f>
        <v/>
      </c>
      <c r="Y15">
        <f>HYPERLINK("https://klasma.github.io/Logging_1487/tillsynsmail/A 58292-2023 tillsynsbegäran mail.docx", "A 58292-2023")</f>
        <v/>
      </c>
    </row>
    <row r="16" ht="15" customHeight="1">
      <c r="A16" t="inlineStr">
        <is>
          <t>A 17920-2023</t>
        </is>
      </c>
      <c r="B16" s="1" t="n">
        <v>45040</v>
      </c>
      <c r="C16" s="1" t="n">
        <v>45890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HYPERLINK("https://klasma.github.io/Logging_1487/artfynd/A 17920-2023 artfynd.xlsx", "A 17920-2023")</f>
        <v/>
      </c>
      <c r="T16">
        <f>HYPERLINK("https://klasma.github.io/Logging_1487/kartor/A 17920-2023 karta.png", "A 17920-2023")</f>
        <v/>
      </c>
      <c r="V16">
        <f>HYPERLINK("https://klasma.github.io/Logging_1487/klagomål/A 17920-2023 FSC-klagomål.docx", "A 17920-2023")</f>
        <v/>
      </c>
      <c r="W16">
        <f>HYPERLINK("https://klasma.github.io/Logging_1487/klagomålsmail/A 17920-2023 FSC-klagomål mail.docx", "A 17920-2023")</f>
        <v/>
      </c>
      <c r="X16">
        <f>HYPERLINK("https://klasma.github.io/Logging_1487/tillsyn/A 17920-2023 tillsynsbegäran.docx", "A 17920-2023")</f>
        <v/>
      </c>
      <c r="Y16">
        <f>HYPERLINK("https://klasma.github.io/Logging_1487/tillsynsmail/A 17920-2023 tillsynsbegäran mail.docx", "A 17920-2023")</f>
        <v/>
      </c>
    </row>
    <row r="17" ht="15" customHeight="1">
      <c r="A17" t="inlineStr">
        <is>
          <t>A 3798-2021</t>
        </is>
      </c>
      <c r="B17" s="1" t="n">
        <v>44221</v>
      </c>
      <c r="C17" s="1" t="n">
        <v>45890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HYPERLINK("https://klasma.github.io/Logging_1487/artfynd/A 3798-2021 artfynd.xlsx", "A 3798-2021")</f>
        <v/>
      </c>
      <c r="T17">
        <f>HYPERLINK("https://klasma.github.io/Logging_1487/kartor/A 3798-2021 karta.png", "A 3798-2021")</f>
        <v/>
      </c>
      <c r="V17">
        <f>HYPERLINK("https://klasma.github.io/Logging_1487/klagomål/A 3798-2021 FSC-klagomål.docx", "A 3798-2021")</f>
        <v/>
      </c>
      <c r="W17">
        <f>HYPERLINK("https://klasma.github.io/Logging_1487/klagomålsmail/A 3798-2021 FSC-klagomål mail.docx", "A 3798-2021")</f>
        <v/>
      </c>
      <c r="X17">
        <f>HYPERLINK("https://klasma.github.io/Logging_1487/tillsyn/A 3798-2021 tillsynsbegäran.docx", "A 3798-2021")</f>
        <v/>
      </c>
      <c r="Y17">
        <f>HYPERLINK("https://klasma.github.io/Logging_1487/tillsynsmail/A 3798-2021 tillsynsbegäran mail.docx", "A 3798-2021")</f>
        <v/>
      </c>
      <c r="Z17">
        <f>HYPERLINK("https://klasma.github.io/Logging_1487/fåglar/A 3798-2021 prioriterade fågelarter.docx", "A 3798-2021")</f>
        <v/>
      </c>
    </row>
    <row r="18" ht="15" customHeight="1">
      <c r="A18" t="inlineStr">
        <is>
          <t>A 27055-2025</t>
        </is>
      </c>
      <c r="B18" s="1" t="n">
        <v>45811.62898148148</v>
      </c>
      <c r="C18" s="1" t="n">
        <v>45890</v>
      </c>
      <c r="D18" t="inlineStr">
        <is>
          <t>VÄSTRA GÖTALANDS LÄN</t>
        </is>
      </c>
      <c r="E18" t="inlineStr">
        <is>
          <t>VÄNERSBORG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HYPERLINK("https://klasma.github.io/Logging_1487/artfynd/A 27055-2025 artfynd.xlsx", "A 27055-2025")</f>
        <v/>
      </c>
      <c r="T18">
        <f>HYPERLINK("https://klasma.github.io/Logging_1487/kartor/A 27055-2025 karta.png", "A 27055-2025")</f>
        <v/>
      </c>
      <c r="V18">
        <f>HYPERLINK("https://klasma.github.io/Logging_1487/klagomål/A 27055-2025 FSC-klagomål.docx", "A 27055-2025")</f>
        <v/>
      </c>
      <c r="W18">
        <f>HYPERLINK("https://klasma.github.io/Logging_1487/klagomålsmail/A 27055-2025 FSC-klagomål mail.docx", "A 27055-2025")</f>
        <v/>
      </c>
      <c r="X18">
        <f>HYPERLINK("https://klasma.github.io/Logging_1487/tillsyn/A 27055-2025 tillsynsbegäran.docx", "A 27055-2025")</f>
        <v/>
      </c>
      <c r="Y18">
        <f>HYPERLINK("https://klasma.github.io/Logging_1487/tillsynsmail/A 27055-2025 tillsynsbegäran mail.docx", "A 27055-2025")</f>
        <v/>
      </c>
    </row>
    <row r="19" ht="15" customHeight="1">
      <c r="A19" t="inlineStr">
        <is>
          <t>A 56496-2024</t>
        </is>
      </c>
      <c r="B19" s="1" t="n">
        <v>45625.49331018519</v>
      </c>
      <c r="C19" s="1" t="n">
        <v>45890</v>
      </c>
      <c r="D19" t="inlineStr">
        <is>
          <t>VÄSTRA GÖTALANDS LÄN</t>
        </is>
      </c>
      <c r="E19" t="inlineStr">
        <is>
          <t>VÄNERSBORG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HYPERLINK("https://klasma.github.io/Logging_1487/artfynd/A 56496-2024 artfynd.xlsx", "A 56496-2024")</f>
        <v/>
      </c>
      <c r="T19">
        <f>HYPERLINK("https://klasma.github.io/Logging_1487/kartor/A 56496-2024 karta.png", "A 56496-2024")</f>
        <v/>
      </c>
      <c r="V19">
        <f>HYPERLINK("https://klasma.github.io/Logging_1487/klagomål/A 56496-2024 FSC-klagomål.docx", "A 56496-2024")</f>
        <v/>
      </c>
      <c r="W19">
        <f>HYPERLINK("https://klasma.github.io/Logging_1487/klagomålsmail/A 56496-2024 FSC-klagomål mail.docx", "A 56496-2024")</f>
        <v/>
      </c>
      <c r="X19">
        <f>HYPERLINK("https://klasma.github.io/Logging_1487/tillsyn/A 56496-2024 tillsynsbegäran.docx", "A 56496-2024")</f>
        <v/>
      </c>
      <c r="Y19">
        <f>HYPERLINK("https://klasma.github.io/Logging_1487/tillsynsmail/A 56496-2024 tillsynsbegäran mail.docx", "A 56496-2024")</f>
        <v/>
      </c>
    </row>
    <row r="20" ht="15" customHeight="1">
      <c r="A20" t="inlineStr">
        <is>
          <t>A 11709-2024</t>
        </is>
      </c>
      <c r="B20" s="1" t="n">
        <v>45373.61430555556</v>
      </c>
      <c r="C20" s="1" t="n">
        <v>45890</v>
      </c>
      <c r="D20" t="inlineStr">
        <is>
          <t>VÄSTRA GÖTALANDS LÄN</t>
        </is>
      </c>
      <c r="E20" t="inlineStr">
        <is>
          <t>VÄNERSBORG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HYPERLINK("https://klasma.github.io/Logging_1487/artfynd/A 11709-2024 artfynd.xlsx", "A 11709-2024")</f>
        <v/>
      </c>
      <c r="T20">
        <f>HYPERLINK("https://klasma.github.io/Logging_1487/kartor/A 11709-2024 karta.png", "A 11709-2024")</f>
        <v/>
      </c>
      <c r="V20">
        <f>HYPERLINK("https://klasma.github.io/Logging_1487/klagomål/A 11709-2024 FSC-klagomål.docx", "A 11709-2024")</f>
        <v/>
      </c>
      <c r="W20">
        <f>HYPERLINK("https://klasma.github.io/Logging_1487/klagomålsmail/A 11709-2024 FSC-klagomål mail.docx", "A 11709-2024")</f>
        <v/>
      </c>
      <c r="X20">
        <f>HYPERLINK("https://klasma.github.io/Logging_1487/tillsyn/A 11709-2024 tillsynsbegäran.docx", "A 11709-2024")</f>
        <v/>
      </c>
      <c r="Y20">
        <f>HYPERLINK("https://klasma.github.io/Logging_1487/tillsynsmail/A 11709-2024 tillsynsbegäran mail.docx", "A 11709-2024")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45890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45890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45890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40580-2020</t>
        </is>
      </c>
      <c r="B24" s="1" t="n">
        <v>44069</v>
      </c>
      <c r="C24" s="1" t="n">
        <v>45890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34717-2022</t>
        </is>
      </c>
      <c r="B25" s="1" t="n">
        <v>44795</v>
      </c>
      <c r="C25" s="1" t="n">
        <v>45890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54899-2022</t>
        </is>
      </c>
      <c r="B26" s="1" t="n">
        <v>44886</v>
      </c>
      <c r="C26" s="1" t="n">
        <v>45890</v>
      </c>
      <c r="D26" t="inlineStr">
        <is>
          <t>VÄSTRA GÖTALANDS LÄN</t>
        </is>
      </c>
      <c r="E26" t="inlineStr">
        <is>
          <t>VÄNERSBORG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29346-2022</t>
        </is>
      </c>
      <c r="B27" s="1" t="n">
        <v>44753.32848379629</v>
      </c>
      <c r="C27" s="1" t="n">
        <v>45890</v>
      </c>
      <c r="D27" t="inlineStr">
        <is>
          <t>VÄSTRA GÖTALANDS LÄN</t>
        </is>
      </c>
      <c r="E27" t="inlineStr">
        <is>
          <t>VÄNERSBORG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64094-2020</t>
        </is>
      </c>
      <c r="B28" s="1" t="n">
        <v>44165</v>
      </c>
      <c r="C28" s="1" t="n">
        <v>45890</v>
      </c>
      <c r="D28" t="inlineStr">
        <is>
          <t>VÄSTRA GÖTALANDS LÄN</t>
        </is>
      </c>
      <c r="E28" t="inlineStr">
        <is>
          <t>VÄNERSBORG</t>
        </is>
      </c>
      <c r="G28" t="n">
        <v>21.3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73477-2021</t>
        </is>
      </c>
      <c r="B29" s="1" t="n">
        <v>44551</v>
      </c>
      <c r="C29" s="1" t="n">
        <v>45890</v>
      </c>
      <c r="D29" t="inlineStr">
        <is>
          <t>VÄSTRA GÖTALANDS LÄN</t>
        </is>
      </c>
      <c r="E29" t="inlineStr">
        <is>
          <t>VÄNERSBORG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416-2022</t>
        </is>
      </c>
      <c r="B30" s="1" t="n">
        <v>44565.84197916667</v>
      </c>
      <c r="C30" s="1" t="n">
        <v>45890</v>
      </c>
      <c r="D30" t="inlineStr">
        <is>
          <t>VÄSTRA GÖTALANDS LÄN</t>
        </is>
      </c>
      <c r="E30" t="inlineStr">
        <is>
          <t>VÄNERSBORG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10333-2021</t>
        </is>
      </c>
      <c r="B31" s="1" t="n">
        <v>44257</v>
      </c>
      <c r="C31" s="1" t="n">
        <v>45890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54221-2022</t>
        </is>
      </c>
      <c r="B32" s="1" t="n">
        <v>44881</v>
      </c>
      <c r="C32" s="1" t="n">
        <v>45890</v>
      </c>
      <c r="D32" t="inlineStr">
        <is>
          <t>VÄSTRA GÖTALANDS LÄN</t>
        </is>
      </c>
      <c r="E32" t="inlineStr">
        <is>
          <t>VÄNERSBORG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46722-2022</t>
        </is>
      </c>
      <c r="B33" s="1" t="n">
        <v>44851.40767361111</v>
      </c>
      <c r="C33" s="1" t="n">
        <v>45890</v>
      </c>
      <c r="D33" t="inlineStr">
        <is>
          <t>VÄSTRA GÖTALANDS LÄN</t>
        </is>
      </c>
      <c r="E33" t="inlineStr">
        <is>
          <t>VÄNERSBORG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58307-2021</t>
        </is>
      </c>
      <c r="B34" s="1" t="n">
        <v>44488</v>
      </c>
      <c r="C34" s="1" t="n">
        <v>45890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34383-2022</t>
        </is>
      </c>
      <c r="B35" s="1" t="n">
        <v>44792</v>
      </c>
      <c r="C35" s="1" t="n">
        <v>45890</v>
      </c>
      <c r="D35" t="inlineStr">
        <is>
          <t>VÄSTRA GÖTALANDS LÄN</t>
        </is>
      </c>
      <c r="E35" t="inlineStr">
        <is>
          <t>VÄNERSBORG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2463-2021</t>
        </is>
      </c>
      <c r="B36" s="1" t="n">
        <v>44214</v>
      </c>
      <c r="C36" s="1" t="n">
        <v>45890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63245-2020</t>
        </is>
      </c>
      <c r="B37" s="1" t="n">
        <v>44164</v>
      </c>
      <c r="C37" s="1" t="n">
        <v>45890</v>
      </c>
      <c r="D37" t="inlineStr">
        <is>
          <t>VÄSTRA GÖTALANDS LÄN</t>
        </is>
      </c>
      <c r="E37" t="inlineStr">
        <is>
          <t>VÄNERSBORG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29368-2022</t>
        </is>
      </c>
      <c r="B38" s="1" t="n">
        <v>44753</v>
      </c>
      <c r="C38" s="1" t="n">
        <v>45890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46424-2021</t>
        </is>
      </c>
      <c r="B39" s="1" t="n">
        <v>44442</v>
      </c>
      <c r="C39" s="1" t="n">
        <v>45890</v>
      </c>
      <c r="D39" t="inlineStr">
        <is>
          <t>VÄSTRA GÖTALANDS LÄN</t>
        </is>
      </c>
      <c r="E39" t="inlineStr">
        <is>
          <t>VÄNERSBORG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48115-2022</t>
        </is>
      </c>
      <c r="B40" s="1" t="n">
        <v>44857</v>
      </c>
      <c r="C40" s="1" t="n">
        <v>45890</v>
      </c>
      <c r="D40" t="inlineStr">
        <is>
          <t>VÄSTRA GÖTALANDS LÄN</t>
        </is>
      </c>
      <c r="E40" t="inlineStr">
        <is>
          <t>VÄNERSBORG</t>
        </is>
      </c>
      <c r="G40" t="n">
        <v>23.4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29383-2021</t>
        </is>
      </c>
      <c r="B41" s="1" t="n">
        <v>44361.47685185185</v>
      </c>
      <c r="C41" s="1" t="n">
        <v>45890</v>
      </c>
      <c r="D41" t="inlineStr">
        <is>
          <t>VÄSTRA GÖTALANDS LÄN</t>
        </is>
      </c>
      <c r="E41" t="inlineStr">
        <is>
          <t>VÄNERSBORG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4816-2021</t>
        </is>
      </c>
      <c r="B42" s="1" t="n">
        <v>44225</v>
      </c>
      <c r="C42" s="1" t="n">
        <v>45890</v>
      </c>
      <c r="D42" t="inlineStr">
        <is>
          <t>VÄSTRA GÖTALANDS LÄN</t>
        </is>
      </c>
      <c r="E42" t="inlineStr">
        <is>
          <t>VÄNERSBORG</t>
        </is>
      </c>
      <c r="F42" t="inlineStr">
        <is>
          <t>Bergvik skog väst AB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29352-2022</t>
        </is>
      </c>
      <c r="B43" s="1" t="n">
        <v>44753.35193287037</v>
      </c>
      <c r="C43" s="1" t="n">
        <v>45890</v>
      </c>
      <c r="D43" t="inlineStr">
        <is>
          <t>VÄSTRA GÖTALANDS LÄN</t>
        </is>
      </c>
      <c r="E43" t="inlineStr">
        <is>
          <t>VÄNERSBORG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29755-2021</t>
        </is>
      </c>
      <c r="B44" s="1" t="n">
        <v>44362</v>
      </c>
      <c r="C44" s="1" t="n">
        <v>45890</v>
      </c>
      <c r="D44" t="inlineStr">
        <is>
          <t>VÄSTRA GÖTALANDS LÄN</t>
        </is>
      </c>
      <c r="E44" t="inlineStr">
        <is>
          <t>VÄNERSBORG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26740-2021</t>
        </is>
      </c>
      <c r="B45" s="1" t="n">
        <v>44349.40521990741</v>
      </c>
      <c r="C45" s="1" t="n">
        <v>45890</v>
      </c>
      <c r="D45" t="inlineStr">
        <is>
          <t>VÄSTRA GÖTALANDS LÄN</t>
        </is>
      </c>
      <c r="E45" t="inlineStr">
        <is>
          <t>VÄNERSBORG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46870-2021</t>
        </is>
      </c>
      <c r="B46" s="1" t="n">
        <v>44446</v>
      </c>
      <c r="C46" s="1" t="n">
        <v>45890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10-2022</t>
        </is>
      </c>
      <c r="B47" s="1" t="n">
        <v>44563.73993055556</v>
      </c>
      <c r="C47" s="1" t="n">
        <v>45890</v>
      </c>
      <c r="D47" t="inlineStr">
        <is>
          <t>VÄSTRA GÖTALANDS LÄN</t>
        </is>
      </c>
      <c r="E47" t="inlineStr">
        <is>
          <t>VÄNERSBORG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20138-2021</t>
        </is>
      </c>
      <c r="B48" s="1" t="n">
        <v>44314.4852662037</v>
      </c>
      <c r="C48" s="1" t="n">
        <v>45890</v>
      </c>
      <c r="D48" t="inlineStr">
        <is>
          <t>VÄSTRA GÖTALANDS LÄN</t>
        </is>
      </c>
      <c r="E48" t="inlineStr">
        <is>
          <t>VÄNERSBORG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58301-2021</t>
        </is>
      </c>
      <c r="B49" s="1" t="n">
        <v>44488</v>
      </c>
      <c r="C49" s="1" t="n">
        <v>45890</v>
      </c>
      <c r="D49" t="inlineStr">
        <is>
          <t>VÄSTRA GÖTALANDS LÄN</t>
        </is>
      </c>
      <c r="E49" t="inlineStr">
        <is>
          <t>VÄNERSBORG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14708-2021</t>
        </is>
      </c>
      <c r="B50" s="1" t="n">
        <v>44280</v>
      </c>
      <c r="C50" s="1" t="n">
        <v>45890</v>
      </c>
      <c r="D50" t="inlineStr">
        <is>
          <t>VÄSTRA GÖTALANDS LÄN</t>
        </is>
      </c>
      <c r="E50" t="inlineStr">
        <is>
          <t>VÄNERSBORG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3465-2022</t>
        </is>
      </c>
      <c r="B51" s="1" t="n">
        <v>44585</v>
      </c>
      <c r="C51" s="1" t="n">
        <v>45890</v>
      </c>
      <c r="D51" t="inlineStr">
        <is>
          <t>VÄSTRA GÖTALANDS LÄN</t>
        </is>
      </c>
      <c r="E51" t="inlineStr">
        <is>
          <t>VÄNERSBORG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34380-2021</t>
        </is>
      </c>
      <c r="B52" s="1" t="n">
        <v>44379.89332175926</v>
      </c>
      <c r="C52" s="1" t="n">
        <v>45890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13923-2022</t>
        </is>
      </c>
      <c r="B53" s="1" t="n">
        <v>44650</v>
      </c>
      <c r="C53" s="1" t="n">
        <v>45890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Naturvårdsverket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54904-2020</t>
        </is>
      </c>
      <c r="B54" s="1" t="n">
        <v>44128</v>
      </c>
      <c r="C54" s="1" t="n">
        <v>45890</v>
      </c>
      <c r="D54" t="inlineStr">
        <is>
          <t>VÄSTRA GÖTALANDS LÄN</t>
        </is>
      </c>
      <c r="E54" t="inlineStr">
        <is>
          <t>VÄNERSBORG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10976-2022</t>
        </is>
      </c>
      <c r="B55" s="1" t="n">
        <v>44628.42969907408</v>
      </c>
      <c r="C55" s="1" t="n">
        <v>45890</v>
      </c>
      <c r="D55" t="inlineStr">
        <is>
          <t>VÄSTRA GÖTALANDS LÄN</t>
        </is>
      </c>
      <c r="E55" t="inlineStr">
        <is>
          <t>VÄNERSBORG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34598-2021</t>
        </is>
      </c>
      <c r="B56" s="1" t="n">
        <v>44382</v>
      </c>
      <c r="C56" s="1" t="n">
        <v>45890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30201-2021</t>
        </is>
      </c>
      <c r="B57" s="1" t="n">
        <v>44363</v>
      </c>
      <c r="C57" s="1" t="n">
        <v>45890</v>
      </c>
      <c r="D57" t="inlineStr">
        <is>
          <t>VÄSTRA GÖTALANDS LÄN</t>
        </is>
      </c>
      <c r="E57" t="inlineStr">
        <is>
          <t>VÄNERSBORG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19561-2022</t>
        </is>
      </c>
      <c r="B58" s="1" t="n">
        <v>44693.66460648148</v>
      </c>
      <c r="C58" s="1" t="n">
        <v>45890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12828-2022</t>
        </is>
      </c>
      <c r="B59" s="1" t="n">
        <v>44642.43065972222</v>
      </c>
      <c r="C59" s="1" t="n">
        <v>45890</v>
      </c>
      <c r="D59" t="inlineStr">
        <is>
          <t>VÄSTRA GÖTALANDS LÄN</t>
        </is>
      </c>
      <c r="E59" t="inlineStr">
        <is>
          <t>VÄNERSBORG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12836-2022</t>
        </is>
      </c>
      <c r="B60" s="1" t="n">
        <v>44642.44318287037</v>
      </c>
      <c r="C60" s="1" t="n">
        <v>45890</v>
      </c>
      <c r="D60" t="inlineStr">
        <is>
          <t>VÄSTRA GÖTALANDS LÄN</t>
        </is>
      </c>
      <c r="E60" t="inlineStr">
        <is>
          <t>VÄNERSBORG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29371-2022</t>
        </is>
      </c>
      <c r="B61" s="1" t="n">
        <v>44753.39418981481</v>
      </c>
      <c r="C61" s="1" t="n">
        <v>45890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53194-2020</t>
        </is>
      </c>
      <c r="B62" s="1" t="n">
        <v>44122</v>
      </c>
      <c r="C62" s="1" t="n">
        <v>45890</v>
      </c>
      <c r="D62" t="inlineStr">
        <is>
          <t>VÄSTRA GÖTALANDS LÄN</t>
        </is>
      </c>
      <c r="E62" t="inlineStr">
        <is>
          <t>VÄNERSBORG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29373-2022</t>
        </is>
      </c>
      <c r="B63" s="1" t="n">
        <v>44753</v>
      </c>
      <c r="C63" s="1" t="n">
        <v>45890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60987-2021</t>
        </is>
      </c>
      <c r="B64" s="1" t="n">
        <v>44497</v>
      </c>
      <c r="C64" s="1" t="n">
        <v>45890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61042-2021</t>
        </is>
      </c>
      <c r="B65" s="1" t="n">
        <v>44497</v>
      </c>
      <c r="C65" s="1" t="n">
        <v>45890</v>
      </c>
      <c r="D65" t="inlineStr">
        <is>
          <t>VÄSTRA GÖTALANDS LÄN</t>
        </is>
      </c>
      <c r="E65" t="inlineStr">
        <is>
          <t>VÄNERSBORG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10977-2022</t>
        </is>
      </c>
      <c r="B66" s="1" t="n">
        <v>44628.43050925926</v>
      </c>
      <c r="C66" s="1" t="n">
        <v>45890</v>
      </c>
      <c r="D66" t="inlineStr">
        <is>
          <t>VÄSTRA GÖTALANDS LÄN</t>
        </is>
      </c>
      <c r="E66" t="inlineStr">
        <is>
          <t>VÄNERSBORG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22557-2021</t>
        </is>
      </c>
      <c r="B67" s="1" t="n">
        <v>44322</v>
      </c>
      <c r="C67" s="1" t="n">
        <v>45890</v>
      </c>
      <c r="D67" t="inlineStr">
        <is>
          <t>VÄSTRA GÖTALANDS LÄN</t>
        </is>
      </c>
      <c r="E67" t="inlineStr">
        <is>
          <t>VÄNERSBORG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58052-2020</t>
        </is>
      </c>
      <c r="B68" s="1" t="n">
        <v>44144</v>
      </c>
      <c r="C68" s="1" t="n">
        <v>45890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5285-2021</t>
        </is>
      </c>
      <c r="B69" s="1" t="n">
        <v>44229</v>
      </c>
      <c r="C69" s="1" t="n">
        <v>45890</v>
      </c>
      <c r="D69" t="inlineStr">
        <is>
          <t>VÄSTRA GÖTALANDS LÄN</t>
        </is>
      </c>
      <c r="E69" t="inlineStr">
        <is>
          <t>VÄNERSBORG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44627-2020</t>
        </is>
      </c>
      <c r="B70" s="1" t="n">
        <v>44085.45931712963</v>
      </c>
      <c r="C70" s="1" t="n">
        <v>45890</v>
      </c>
      <c r="D70" t="inlineStr">
        <is>
          <t>VÄSTRA GÖTALANDS LÄN</t>
        </is>
      </c>
      <c r="E70" t="inlineStr">
        <is>
          <t>VÄNERSBORG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69579-2020</t>
        </is>
      </c>
      <c r="B71" s="1" t="n">
        <v>44195</v>
      </c>
      <c r="C71" s="1" t="n">
        <v>45890</v>
      </c>
      <c r="D71" t="inlineStr">
        <is>
          <t>VÄSTRA GÖTALANDS LÄN</t>
        </is>
      </c>
      <c r="E71" t="inlineStr">
        <is>
          <t>VÄNERSBORG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18157-2022</t>
        </is>
      </c>
      <c r="B72" s="1" t="n">
        <v>44684</v>
      </c>
      <c r="C72" s="1" t="n">
        <v>45890</v>
      </c>
      <c r="D72" t="inlineStr">
        <is>
          <t>VÄSTRA GÖTALANDS LÄN</t>
        </is>
      </c>
      <c r="E72" t="inlineStr">
        <is>
          <t>VÄNERSBORG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34595-2021</t>
        </is>
      </c>
      <c r="B73" s="1" t="n">
        <v>44382</v>
      </c>
      <c r="C73" s="1" t="n">
        <v>45890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19559-2022</t>
        </is>
      </c>
      <c r="B74" s="1" t="n">
        <v>44693.6590625</v>
      </c>
      <c r="C74" s="1" t="n">
        <v>45890</v>
      </c>
      <c r="D74" t="inlineStr">
        <is>
          <t>VÄSTRA GÖTALANDS LÄN</t>
        </is>
      </c>
      <c r="E74" t="inlineStr">
        <is>
          <t>VÄNERSBORG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2377-2022</t>
        </is>
      </c>
      <c r="B75" s="1" t="n">
        <v>44579</v>
      </c>
      <c r="C75" s="1" t="n">
        <v>45890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29345-2022</t>
        </is>
      </c>
      <c r="B76" s="1" t="n">
        <v>44753.32299768519</v>
      </c>
      <c r="C76" s="1" t="n">
        <v>45890</v>
      </c>
      <c r="D76" t="inlineStr">
        <is>
          <t>VÄSTRA GÖTALANDS LÄN</t>
        </is>
      </c>
      <c r="E76" t="inlineStr">
        <is>
          <t>VÄNERSBORG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11979-2022</t>
        </is>
      </c>
      <c r="B77" s="1" t="n">
        <v>44635.66027777778</v>
      </c>
      <c r="C77" s="1" t="n">
        <v>45890</v>
      </c>
      <c r="D77" t="inlineStr">
        <is>
          <t>VÄSTRA GÖTALANDS LÄN</t>
        </is>
      </c>
      <c r="E77" t="inlineStr">
        <is>
          <t>VÄNERSBORG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2146-2025</t>
        </is>
      </c>
      <c r="B78" s="1" t="n">
        <v>45672.69664351852</v>
      </c>
      <c r="C78" s="1" t="n">
        <v>45890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30878-2021</t>
        </is>
      </c>
      <c r="B79" s="1" t="n">
        <v>44365</v>
      </c>
      <c r="C79" s="1" t="n">
        <v>45890</v>
      </c>
      <c r="D79" t="inlineStr">
        <is>
          <t>VÄSTRA GÖTALANDS LÄN</t>
        </is>
      </c>
      <c r="E79" t="inlineStr">
        <is>
          <t>VÄNERSBORG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11439-2022</t>
        </is>
      </c>
      <c r="B80" s="1" t="n">
        <v>44630.62471064815</v>
      </c>
      <c r="C80" s="1" t="n">
        <v>45890</v>
      </c>
      <c r="D80" t="inlineStr">
        <is>
          <t>VÄSTRA GÖTALANDS LÄN</t>
        </is>
      </c>
      <c r="E80" t="inlineStr">
        <is>
          <t>VÄNERSBORG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73226-2021</t>
        </is>
      </c>
      <c r="B81" s="1" t="n">
        <v>44550</v>
      </c>
      <c r="C81" s="1" t="n">
        <v>45890</v>
      </c>
      <c r="D81" t="inlineStr">
        <is>
          <t>VÄSTRA GÖTALANDS LÄN</t>
        </is>
      </c>
      <c r="E81" t="inlineStr">
        <is>
          <t>VÄNERSBORG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31051-2022</t>
        </is>
      </c>
      <c r="B82" s="1" t="n">
        <v>44769</v>
      </c>
      <c r="C82" s="1" t="n">
        <v>45890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34592-2021</t>
        </is>
      </c>
      <c r="B83" s="1" t="n">
        <v>44382</v>
      </c>
      <c r="C83" s="1" t="n">
        <v>45890</v>
      </c>
      <c r="D83" t="inlineStr">
        <is>
          <t>VÄSTRA GÖTALANDS LÄN</t>
        </is>
      </c>
      <c r="E83" t="inlineStr">
        <is>
          <t>VÄNERSBORG</t>
        </is>
      </c>
      <c r="F83" t="inlineStr">
        <is>
          <t>Sveaskog</t>
        </is>
      </c>
      <c r="G83" t="n">
        <v>12.5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34593-2021</t>
        </is>
      </c>
      <c r="B84" s="1" t="n">
        <v>44382</v>
      </c>
      <c r="C84" s="1" t="n">
        <v>45890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48494-2024</t>
        </is>
      </c>
      <c r="B85" s="1" t="n">
        <v>45592.75105324074</v>
      </c>
      <c r="C85" s="1" t="n">
        <v>45890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33033-2024</t>
        </is>
      </c>
      <c r="B86" s="1" t="n">
        <v>45517</v>
      </c>
      <c r="C86" s="1" t="n">
        <v>45890</v>
      </c>
      <c r="D86" t="inlineStr">
        <is>
          <t>VÄSTRA GÖTALANDS LÄN</t>
        </is>
      </c>
      <c r="E86" t="inlineStr">
        <is>
          <t>VÄNERSBORG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519-2023</t>
        </is>
      </c>
      <c r="B87" s="1" t="n">
        <v>44930.40255787037</v>
      </c>
      <c r="C87" s="1" t="n">
        <v>45890</v>
      </c>
      <c r="D87" t="inlineStr">
        <is>
          <t>VÄSTRA GÖTALANDS LÄN</t>
        </is>
      </c>
      <c r="E87" t="inlineStr">
        <is>
          <t>VÄNERSBORG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17871-2024</t>
        </is>
      </c>
      <c r="B88" s="1" t="n">
        <v>45419.44590277778</v>
      </c>
      <c r="C88" s="1" t="n">
        <v>45890</v>
      </c>
      <c r="D88" t="inlineStr">
        <is>
          <t>VÄSTRA GÖTALANDS LÄN</t>
        </is>
      </c>
      <c r="E88" t="inlineStr">
        <is>
          <t>VÄNERSBORG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20584-2023</t>
        </is>
      </c>
      <c r="B89" s="1" t="n">
        <v>45057</v>
      </c>
      <c r="C89" s="1" t="n">
        <v>45890</v>
      </c>
      <c r="D89" t="inlineStr">
        <is>
          <t>VÄSTRA GÖTALANDS LÄN</t>
        </is>
      </c>
      <c r="E89" t="inlineStr">
        <is>
          <t>VÄNERSBORG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61825-2021</t>
        </is>
      </c>
      <c r="B90" s="1" t="n">
        <v>44501.79969907407</v>
      </c>
      <c r="C90" s="1" t="n">
        <v>45890</v>
      </c>
      <c r="D90" t="inlineStr">
        <is>
          <t>VÄSTRA GÖTALANDS LÄN</t>
        </is>
      </c>
      <c r="E90" t="inlineStr">
        <is>
          <t>VÄNERSBORG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61826-2021</t>
        </is>
      </c>
      <c r="B91" s="1" t="n">
        <v>44501</v>
      </c>
      <c r="C91" s="1" t="n">
        <v>45890</v>
      </c>
      <c r="D91" t="inlineStr">
        <is>
          <t>VÄSTRA GÖTALANDS LÄN</t>
        </is>
      </c>
      <c r="E91" t="inlineStr">
        <is>
          <t>VÄNERSBORG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15309-2022</t>
        </is>
      </c>
      <c r="B92" s="1" t="n">
        <v>44659</v>
      </c>
      <c r="C92" s="1" t="n">
        <v>45890</v>
      </c>
      <c r="D92" t="inlineStr">
        <is>
          <t>VÄSTRA GÖTALANDS LÄN</t>
        </is>
      </c>
      <c r="E92" t="inlineStr">
        <is>
          <t>VÄNERSBORG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46523-2024</t>
        </is>
      </c>
      <c r="B93" s="1" t="n">
        <v>45582.6306712963</v>
      </c>
      <c r="C93" s="1" t="n">
        <v>45890</v>
      </c>
      <c r="D93" t="inlineStr">
        <is>
          <t>VÄSTRA GÖTALANDS LÄN</t>
        </is>
      </c>
      <c r="E93" t="inlineStr">
        <is>
          <t>VÄNERSBORG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5009-2025</t>
        </is>
      </c>
      <c r="B94" s="1" t="n">
        <v>45691</v>
      </c>
      <c r="C94" s="1" t="n">
        <v>45890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65120-2023</t>
        </is>
      </c>
      <c r="B95" s="1" t="n">
        <v>45287</v>
      </c>
      <c r="C95" s="1" t="n">
        <v>45890</v>
      </c>
      <c r="D95" t="inlineStr">
        <is>
          <t>VÄSTRA GÖTALANDS LÄN</t>
        </is>
      </c>
      <c r="E95" t="inlineStr">
        <is>
          <t>VÄNERSBORG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38360-2024</t>
        </is>
      </c>
      <c r="B96" s="1" t="n">
        <v>45545.79484953704</v>
      </c>
      <c r="C96" s="1" t="n">
        <v>45890</v>
      </c>
      <c r="D96" t="inlineStr">
        <is>
          <t>VÄSTRA GÖTALANDS LÄN</t>
        </is>
      </c>
      <c r="E96" t="inlineStr">
        <is>
          <t>VÄNERSBORG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120-2024</t>
        </is>
      </c>
      <c r="B97" s="1" t="n">
        <v>45294.3707175926</v>
      </c>
      <c r="C97" s="1" t="n">
        <v>45890</v>
      </c>
      <c r="D97" t="inlineStr">
        <is>
          <t>VÄSTRA GÖTALANDS LÄN</t>
        </is>
      </c>
      <c r="E97" t="inlineStr">
        <is>
          <t>VÄNERSBORG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12910-2023</t>
        </is>
      </c>
      <c r="B98" s="1" t="n">
        <v>45001</v>
      </c>
      <c r="C98" s="1" t="n">
        <v>45890</v>
      </c>
      <c r="D98" t="inlineStr">
        <is>
          <t>VÄSTRA GÖTALANDS LÄN</t>
        </is>
      </c>
      <c r="E98" t="inlineStr">
        <is>
          <t>VÄNERSBORG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16452-2025</t>
        </is>
      </c>
      <c r="B99" s="1" t="n">
        <v>45751.51493055555</v>
      </c>
      <c r="C99" s="1" t="n">
        <v>45890</v>
      </c>
      <c r="D99" t="inlineStr">
        <is>
          <t>VÄSTRA GÖTALANDS LÄN</t>
        </is>
      </c>
      <c r="E99" t="inlineStr">
        <is>
          <t>VÄNERSBORG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23862-2022</t>
        </is>
      </c>
      <c r="B100" s="1" t="n">
        <v>44722.551875</v>
      </c>
      <c r="C100" s="1" t="n">
        <v>45890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17749-2024</t>
        </is>
      </c>
      <c r="B101" s="1" t="n">
        <v>45418.59761574074</v>
      </c>
      <c r="C101" s="1" t="n">
        <v>45890</v>
      </c>
      <c r="D101" t="inlineStr">
        <is>
          <t>VÄSTRA GÖTALANDS LÄN</t>
        </is>
      </c>
      <c r="E101" t="inlineStr">
        <is>
          <t>VÄNERSBORG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17985-2022</t>
        </is>
      </c>
      <c r="B102" s="1" t="n">
        <v>44683</v>
      </c>
      <c r="C102" s="1" t="n">
        <v>45890</v>
      </c>
      <c r="D102" t="inlineStr">
        <is>
          <t>VÄSTRA GÖTALANDS LÄN</t>
        </is>
      </c>
      <c r="E102" t="inlineStr">
        <is>
          <t>VÄNERSBORG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33476-2022</t>
        </is>
      </c>
      <c r="B103" s="1" t="n">
        <v>44788</v>
      </c>
      <c r="C103" s="1" t="n">
        <v>45890</v>
      </c>
      <c r="D103" t="inlineStr">
        <is>
          <t>VÄSTRA GÖTALANDS LÄN</t>
        </is>
      </c>
      <c r="E103" t="inlineStr">
        <is>
          <t>VÄNERSBORG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46320-2024</t>
        </is>
      </c>
      <c r="B104" s="1" t="n">
        <v>45581.80997685185</v>
      </c>
      <c r="C104" s="1" t="n">
        <v>45890</v>
      </c>
      <c r="D104" t="inlineStr">
        <is>
          <t>VÄSTRA GÖTALANDS LÄN</t>
        </is>
      </c>
      <c r="E104" t="inlineStr">
        <is>
          <t>VÄNERSBORG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7795-2023</t>
        </is>
      </c>
      <c r="B105" s="1" t="n">
        <v>44973</v>
      </c>
      <c r="C105" s="1" t="n">
        <v>45890</v>
      </c>
      <c r="D105" t="inlineStr">
        <is>
          <t>VÄSTRA GÖTALANDS LÄN</t>
        </is>
      </c>
      <c r="E105" t="inlineStr">
        <is>
          <t>VÄNERSBORG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12610-2024</t>
        </is>
      </c>
      <c r="B106" s="1" t="n">
        <v>45382.87498842592</v>
      </c>
      <c r="C106" s="1" t="n">
        <v>45890</v>
      </c>
      <c r="D106" t="inlineStr">
        <is>
          <t>VÄSTRA GÖTALANDS LÄN</t>
        </is>
      </c>
      <c r="E106" t="inlineStr">
        <is>
          <t>VÄNERSBORG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6752-2023</t>
        </is>
      </c>
      <c r="B107" s="1" t="n">
        <v>44966.87815972222</v>
      </c>
      <c r="C107" s="1" t="n">
        <v>45890</v>
      </c>
      <c r="D107" t="inlineStr">
        <is>
          <t>VÄSTRA GÖTALANDS LÄN</t>
        </is>
      </c>
      <c r="E107" t="inlineStr">
        <is>
          <t>VÄNERSBORG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14722-2023</t>
        </is>
      </c>
      <c r="B108" s="1" t="n">
        <v>45014</v>
      </c>
      <c r="C108" s="1" t="n">
        <v>45890</v>
      </c>
      <c r="D108" t="inlineStr">
        <is>
          <t>VÄSTRA GÖTALANDS LÄN</t>
        </is>
      </c>
      <c r="E108" t="inlineStr">
        <is>
          <t>VÄNERSBORG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43817-2023</t>
        </is>
      </c>
      <c r="B109" s="1" t="n">
        <v>45187</v>
      </c>
      <c r="C109" s="1" t="n">
        <v>45890</v>
      </c>
      <c r="D109" t="inlineStr">
        <is>
          <t>VÄSTRA GÖTALANDS LÄN</t>
        </is>
      </c>
      <c r="E109" t="inlineStr">
        <is>
          <t>VÄNERSBORG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3884-2022</t>
        </is>
      </c>
      <c r="B110" s="1" t="n">
        <v>44587.46003472222</v>
      </c>
      <c r="C110" s="1" t="n">
        <v>45890</v>
      </c>
      <c r="D110" t="inlineStr">
        <is>
          <t>VÄSTRA GÖTALANDS LÄN</t>
        </is>
      </c>
      <c r="E110" t="inlineStr">
        <is>
          <t>VÄNERSBORG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6172-2024</t>
        </is>
      </c>
      <c r="B111" s="1" t="n">
        <v>45337</v>
      </c>
      <c r="C111" s="1" t="n">
        <v>45890</v>
      </c>
      <c r="D111" t="inlineStr">
        <is>
          <t>VÄSTRA GÖTALANDS LÄN</t>
        </is>
      </c>
      <c r="E111" t="inlineStr">
        <is>
          <t>VÄNERSBORG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15099-2024</t>
        </is>
      </c>
      <c r="B112" s="1" t="n">
        <v>45399.66082175926</v>
      </c>
      <c r="C112" s="1" t="n">
        <v>45890</v>
      </c>
      <c r="D112" t="inlineStr">
        <is>
          <t>VÄSTRA GÖTALANDS LÄN</t>
        </is>
      </c>
      <c r="E112" t="inlineStr">
        <is>
          <t>VÄNERSBORG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15107-2024</t>
        </is>
      </c>
      <c r="B113" s="1" t="n">
        <v>45399</v>
      </c>
      <c r="C113" s="1" t="n">
        <v>45890</v>
      </c>
      <c r="D113" t="inlineStr">
        <is>
          <t>VÄSTRA GÖTALANDS LÄN</t>
        </is>
      </c>
      <c r="E113" t="inlineStr">
        <is>
          <t>VÄNERSBORG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369-2023</t>
        </is>
      </c>
      <c r="B114" s="1" t="n">
        <v>44929</v>
      </c>
      <c r="C114" s="1" t="n">
        <v>45890</v>
      </c>
      <c r="D114" t="inlineStr">
        <is>
          <t>VÄSTRA GÖTALANDS LÄN</t>
        </is>
      </c>
      <c r="E114" t="inlineStr">
        <is>
          <t>VÄNERSBORG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15066-2025</t>
        </is>
      </c>
      <c r="B115" s="1" t="n">
        <v>45743.75665509259</v>
      </c>
      <c r="C115" s="1" t="n">
        <v>45890</v>
      </c>
      <c r="D115" t="inlineStr">
        <is>
          <t>VÄSTRA GÖTALANDS LÄN</t>
        </is>
      </c>
      <c r="E115" t="inlineStr">
        <is>
          <t>VÄNERSBORG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56725-2023</t>
        </is>
      </c>
      <c r="B116" s="1" t="n">
        <v>45244</v>
      </c>
      <c r="C116" s="1" t="n">
        <v>45890</v>
      </c>
      <c r="D116" t="inlineStr">
        <is>
          <t>VÄSTRA GÖTALANDS LÄN</t>
        </is>
      </c>
      <c r="E116" t="inlineStr">
        <is>
          <t>VÄNERSBORG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56739-2023</t>
        </is>
      </c>
      <c r="B117" s="1" t="n">
        <v>45244</v>
      </c>
      <c r="C117" s="1" t="n">
        <v>45890</v>
      </c>
      <c r="D117" t="inlineStr">
        <is>
          <t>VÄSTRA GÖTALANDS LÄN</t>
        </is>
      </c>
      <c r="E117" t="inlineStr">
        <is>
          <t>VÄNERSBORG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12853-2023</t>
        </is>
      </c>
      <c r="B118" s="1" t="n">
        <v>45001</v>
      </c>
      <c r="C118" s="1" t="n">
        <v>45890</v>
      </c>
      <c r="D118" t="inlineStr">
        <is>
          <t>VÄSTRA GÖTALANDS LÄN</t>
        </is>
      </c>
      <c r="E118" t="inlineStr">
        <is>
          <t>VÄNERSBORG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43799-2024</t>
        </is>
      </c>
      <c r="B119" s="1" t="n">
        <v>45571.62708333333</v>
      </c>
      <c r="C119" s="1" t="n">
        <v>45890</v>
      </c>
      <c r="D119" t="inlineStr">
        <is>
          <t>VÄSTRA GÖTALANDS LÄN</t>
        </is>
      </c>
      <c r="E119" t="inlineStr">
        <is>
          <t>VÄNERSBORG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6469-2021</t>
        </is>
      </c>
      <c r="B120" s="1" t="n">
        <v>44235</v>
      </c>
      <c r="C120" s="1" t="n">
        <v>45890</v>
      </c>
      <c r="D120" t="inlineStr">
        <is>
          <t>VÄSTRA GÖTALANDS LÄN</t>
        </is>
      </c>
      <c r="E120" t="inlineStr">
        <is>
          <t>VÄNERSBORG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7420-2024</t>
        </is>
      </c>
      <c r="B121" s="1" t="n">
        <v>45345.62907407407</v>
      </c>
      <c r="C121" s="1" t="n">
        <v>45890</v>
      </c>
      <c r="D121" t="inlineStr">
        <is>
          <t>VÄSTRA GÖTALANDS LÄN</t>
        </is>
      </c>
      <c r="E121" t="inlineStr">
        <is>
          <t>VÄNERSBORG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56480-2024</t>
        </is>
      </c>
      <c r="B122" s="1" t="n">
        <v>45625.47077546296</v>
      </c>
      <c r="C122" s="1" t="n">
        <v>45890</v>
      </c>
      <c r="D122" t="inlineStr">
        <is>
          <t>VÄSTRA GÖTALANDS LÄN</t>
        </is>
      </c>
      <c r="E122" t="inlineStr">
        <is>
          <t>VÄNERSBORG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55618-2023</t>
        </is>
      </c>
      <c r="B123" s="1" t="n">
        <v>45238.825625</v>
      </c>
      <c r="C123" s="1" t="n">
        <v>45890</v>
      </c>
      <c r="D123" t="inlineStr">
        <is>
          <t>VÄSTRA GÖTALANDS LÄN</t>
        </is>
      </c>
      <c r="E123" t="inlineStr">
        <is>
          <t>VÄNERSBORG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33912-2023</t>
        </is>
      </c>
      <c r="B124" s="1" t="n">
        <v>45134.41664351852</v>
      </c>
      <c r="C124" s="1" t="n">
        <v>45890</v>
      </c>
      <c r="D124" t="inlineStr">
        <is>
          <t>VÄSTRA GÖTALANDS LÄN</t>
        </is>
      </c>
      <c r="E124" t="inlineStr">
        <is>
          <t>VÄNERSBORG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59745-2024</t>
        </is>
      </c>
      <c r="B125" s="1" t="n">
        <v>45639.5343287037</v>
      </c>
      <c r="C125" s="1" t="n">
        <v>45890</v>
      </c>
      <c r="D125" t="inlineStr">
        <is>
          <t>VÄSTRA GÖTALANDS LÄN</t>
        </is>
      </c>
      <c r="E125" t="inlineStr">
        <is>
          <t>VÄNERSBORG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48496-2024</t>
        </is>
      </c>
      <c r="B126" s="1" t="n">
        <v>45592.77157407408</v>
      </c>
      <c r="C126" s="1" t="n">
        <v>45890</v>
      </c>
      <c r="D126" t="inlineStr">
        <is>
          <t>VÄSTRA GÖTALANDS LÄN</t>
        </is>
      </c>
      <c r="E126" t="inlineStr">
        <is>
          <t>VÄNERSBORG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40223-2021</t>
        </is>
      </c>
      <c r="B127" s="1" t="n">
        <v>44419</v>
      </c>
      <c r="C127" s="1" t="n">
        <v>45890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40226-2021</t>
        </is>
      </c>
      <c r="B128" s="1" t="n">
        <v>44419</v>
      </c>
      <c r="C128" s="1" t="n">
        <v>45890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64606-2023</t>
        </is>
      </c>
      <c r="B129" s="1" t="n">
        <v>45281.5049537037</v>
      </c>
      <c r="C129" s="1" t="n">
        <v>45890</v>
      </c>
      <c r="D129" t="inlineStr">
        <is>
          <t>VÄSTRA GÖTALANDS LÄN</t>
        </is>
      </c>
      <c r="E129" t="inlineStr">
        <is>
          <t>VÄNERSBORG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28263-2023</t>
        </is>
      </c>
      <c r="B130" s="1" t="n">
        <v>45099</v>
      </c>
      <c r="C130" s="1" t="n">
        <v>45890</v>
      </c>
      <c r="D130" t="inlineStr">
        <is>
          <t>VÄSTRA GÖTALANDS LÄN</t>
        </is>
      </c>
      <c r="E130" t="inlineStr">
        <is>
          <t>VÄNERSBORG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47630-2022</t>
        </is>
      </c>
      <c r="B131" s="1" t="n">
        <v>44852</v>
      </c>
      <c r="C131" s="1" t="n">
        <v>45890</v>
      </c>
      <c r="D131" t="inlineStr">
        <is>
          <t>VÄSTRA GÖTALANDS LÄN</t>
        </is>
      </c>
      <c r="E131" t="inlineStr">
        <is>
          <t>VÄNERSBORG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34183-2023</t>
        </is>
      </c>
      <c r="B132" s="1" t="n">
        <v>45138</v>
      </c>
      <c r="C132" s="1" t="n">
        <v>45890</v>
      </c>
      <c r="D132" t="inlineStr">
        <is>
          <t>VÄSTRA GÖTALANDS LÄN</t>
        </is>
      </c>
      <c r="E132" t="inlineStr">
        <is>
          <t>VÄNERSBORG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2556-2024</t>
        </is>
      </c>
      <c r="B133" s="1" t="n">
        <v>45313.60317129629</v>
      </c>
      <c r="C133" s="1" t="n">
        <v>45890</v>
      </c>
      <c r="D133" t="inlineStr">
        <is>
          <t>VÄSTRA GÖTALANDS LÄN</t>
        </is>
      </c>
      <c r="E133" t="inlineStr">
        <is>
          <t>VÄNERSBORG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40399-2024</t>
        </is>
      </c>
      <c r="B134" s="1" t="n">
        <v>45555.44511574074</v>
      </c>
      <c r="C134" s="1" t="n">
        <v>45890</v>
      </c>
      <c r="D134" t="inlineStr">
        <is>
          <t>VÄSTRA GÖTALANDS LÄN</t>
        </is>
      </c>
      <c r="E134" t="inlineStr">
        <is>
          <t>VÄNERSBORG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19133-2025</t>
        </is>
      </c>
      <c r="B135" s="1" t="n">
        <v>45764</v>
      </c>
      <c r="C135" s="1" t="n">
        <v>45890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15458-2025</t>
        </is>
      </c>
      <c r="B136" s="1" t="n">
        <v>45747.50989583333</v>
      </c>
      <c r="C136" s="1" t="n">
        <v>45890</v>
      </c>
      <c r="D136" t="inlineStr">
        <is>
          <t>VÄSTRA GÖTALANDS LÄN</t>
        </is>
      </c>
      <c r="E136" t="inlineStr">
        <is>
          <t>VÄNERSBORG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18937-2024</t>
        </is>
      </c>
      <c r="B137" s="1" t="n">
        <v>45427</v>
      </c>
      <c r="C137" s="1" t="n">
        <v>45890</v>
      </c>
      <c r="D137" t="inlineStr">
        <is>
          <t>VÄSTRA GÖTALANDS LÄN</t>
        </is>
      </c>
      <c r="E137" t="inlineStr">
        <is>
          <t>VÄNERSBORG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54006-2022</t>
        </is>
      </c>
      <c r="B138" s="1" t="n">
        <v>44881.40414351852</v>
      </c>
      <c r="C138" s="1" t="n">
        <v>45890</v>
      </c>
      <c r="D138" t="inlineStr">
        <is>
          <t>VÄSTRA GÖTALANDS LÄN</t>
        </is>
      </c>
      <c r="E138" t="inlineStr">
        <is>
          <t>VÄNERSBORG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12823-2022</t>
        </is>
      </c>
      <c r="B139" s="1" t="n">
        <v>44642.42333333333</v>
      </c>
      <c r="C139" s="1" t="n">
        <v>45890</v>
      </c>
      <c r="D139" t="inlineStr">
        <is>
          <t>VÄSTRA GÖTALANDS LÄN</t>
        </is>
      </c>
      <c r="E139" t="inlineStr">
        <is>
          <t>VÄNERSBORG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22326-2025</t>
        </is>
      </c>
      <c r="B140" s="1" t="n">
        <v>45786.41207175926</v>
      </c>
      <c r="C140" s="1" t="n">
        <v>45890</v>
      </c>
      <c r="D140" t="inlineStr">
        <is>
          <t>VÄSTRA GÖTALANDS LÄN</t>
        </is>
      </c>
      <c r="E140" t="inlineStr">
        <is>
          <t>VÄNERSBORG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42698-2024</t>
        </is>
      </c>
      <c r="B141" s="1" t="n">
        <v>45566</v>
      </c>
      <c r="C141" s="1" t="n">
        <v>45890</v>
      </c>
      <c r="D141" t="inlineStr">
        <is>
          <t>VÄSTRA GÖTALANDS LÄN</t>
        </is>
      </c>
      <c r="E141" t="inlineStr">
        <is>
          <t>VÄNERSBORG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10765-2025</t>
        </is>
      </c>
      <c r="B142" s="1" t="n">
        <v>45722.46148148148</v>
      </c>
      <c r="C142" s="1" t="n">
        <v>45890</v>
      </c>
      <c r="D142" t="inlineStr">
        <is>
          <t>VÄSTRA GÖTALANDS LÄN</t>
        </is>
      </c>
      <c r="E142" t="inlineStr">
        <is>
          <t>VÄNERSBORG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16551-2024</t>
        </is>
      </c>
      <c r="B143" s="1" t="n">
        <v>45408</v>
      </c>
      <c r="C143" s="1" t="n">
        <v>45890</v>
      </c>
      <c r="D143" t="inlineStr">
        <is>
          <t>VÄSTRA GÖTALANDS LÄN</t>
        </is>
      </c>
      <c r="E143" t="inlineStr">
        <is>
          <t>VÄNERSBORG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11688-2025</t>
        </is>
      </c>
      <c r="B144" s="1" t="n">
        <v>45727.55563657408</v>
      </c>
      <c r="C144" s="1" t="n">
        <v>45890</v>
      </c>
      <c r="D144" t="inlineStr">
        <is>
          <t>VÄSTRA GÖTALANDS LÄN</t>
        </is>
      </c>
      <c r="E144" t="inlineStr">
        <is>
          <t>VÄNERSBORG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27815-2024</t>
        </is>
      </c>
      <c r="B145" s="1" t="n">
        <v>45475.59787037037</v>
      </c>
      <c r="C145" s="1" t="n">
        <v>45890</v>
      </c>
      <c r="D145" t="inlineStr">
        <is>
          <t>VÄSTRA GÖTALANDS LÄN</t>
        </is>
      </c>
      <c r="E145" t="inlineStr">
        <is>
          <t>VÄNERSBORG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61409-2022</t>
        </is>
      </c>
      <c r="B146" s="1" t="n">
        <v>44909</v>
      </c>
      <c r="C146" s="1" t="n">
        <v>45890</v>
      </c>
      <c r="D146" t="inlineStr">
        <is>
          <t>VÄSTRA GÖTALANDS LÄN</t>
        </is>
      </c>
      <c r="E146" t="inlineStr">
        <is>
          <t>VÄNERSBORG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18855-2025</t>
        </is>
      </c>
      <c r="B147" s="1" t="n">
        <v>45764.42244212963</v>
      </c>
      <c r="C147" s="1" t="n">
        <v>45890</v>
      </c>
      <c r="D147" t="inlineStr">
        <is>
          <t>VÄSTRA GÖTALANDS LÄN</t>
        </is>
      </c>
      <c r="E147" t="inlineStr">
        <is>
          <t>VÄNERSBORG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5820-2021</t>
        </is>
      </c>
      <c r="B148" s="1" t="n">
        <v>44229</v>
      </c>
      <c r="C148" s="1" t="n">
        <v>45890</v>
      </c>
      <c r="D148" t="inlineStr">
        <is>
          <t>VÄSTRA GÖTALANDS LÄN</t>
        </is>
      </c>
      <c r="E148" t="inlineStr">
        <is>
          <t>VÄNERSBORG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22402-2024</t>
        </is>
      </c>
      <c r="B149" s="1" t="n">
        <v>45446.6730787037</v>
      </c>
      <c r="C149" s="1" t="n">
        <v>45890</v>
      </c>
      <c r="D149" t="inlineStr">
        <is>
          <t>VÄSTRA GÖTALANDS LÄN</t>
        </is>
      </c>
      <c r="E149" t="inlineStr">
        <is>
          <t>VÄNERSBORG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32838-2022</t>
        </is>
      </c>
      <c r="B150" s="1" t="n">
        <v>44784.43820601852</v>
      </c>
      <c r="C150" s="1" t="n">
        <v>45890</v>
      </c>
      <c r="D150" t="inlineStr">
        <is>
          <t>VÄSTRA GÖTALANDS LÄN</t>
        </is>
      </c>
      <c r="E150" t="inlineStr">
        <is>
          <t>VÄNERSBORG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17172-2023</t>
        </is>
      </c>
      <c r="B151" s="1" t="n">
        <v>45034.65365740741</v>
      </c>
      <c r="C151" s="1" t="n">
        <v>45890</v>
      </c>
      <c r="D151" t="inlineStr">
        <is>
          <t>VÄSTRA GÖTALANDS LÄN</t>
        </is>
      </c>
      <c r="E151" t="inlineStr">
        <is>
          <t>VÄNERSBORG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40721-2022</t>
        </is>
      </c>
      <c r="B152" s="1" t="n">
        <v>44824.50174768519</v>
      </c>
      <c r="C152" s="1" t="n">
        <v>45890</v>
      </c>
      <c r="D152" t="inlineStr">
        <is>
          <t>VÄSTRA GÖTALANDS LÄN</t>
        </is>
      </c>
      <c r="E152" t="inlineStr">
        <is>
          <t>VÄNERSBORG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15067-2025</t>
        </is>
      </c>
      <c r="B153" s="1" t="n">
        <v>45743.76568287037</v>
      </c>
      <c r="C153" s="1" t="n">
        <v>45890</v>
      </c>
      <c r="D153" t="inlineStr">
        <is>
          <t>VÄSTRA GÖTALANDS LÄN</t>
        </is>
      </c>
      <c r="E153" t="inlineStr">
        <is>
          <t>VÄNERSBORG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29371-2021</t>
        </is>
      </c>
      <c r="B154" s="1" t="n">
        <v>44361</v>
      </c>
      <c r="C154" s="1" t="n">
        <v>45890</v>
      </c>
      <c r="D154" t="inlineStr">
        <is>
          <t>VÄSTRA GÖTALANDS LÄN</t>
        </is>
      </c>
      <c r="E154" t="inlineStr">
        <is>
          <t>VÄNERSBORG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10525-2025</t>
        </is>
      </c>
      <c r="B155" s="1" t="n">
        <v>45721.43710648148</v>
      </c>
      <c r="C155" s="1" t="n">
        <v>45890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42605-2024</t>
        </is>
      </c>
      <c r="B156" s="1" t="n">
        <v>45565.72832175926</v>
      </c>
      <c r="C156" s="1" t="n">
        <v>45890</v>
      </c>
      <c r="D156" t="inlineStr">
        <is>
          <t>VÄSTRA GÖTALANDS LÄN</t>
        </is>
      </c>
      <c r="E156" t="inlineStr">
        <is>
          <t>VÄNERSBORG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43856-2024</t>
        </is>
      </c>
      <c r="B157" s="1" t="n">
        <v>45572.35760416667</v>
      </c>
      <c r="C157" s="1" t="n">
        <v>45890</v>
      </c>
      <c r="D157" t="inlineStr">
        <is>
          <t>VÄSTRA GÖTALANDS LÄN</t>
        </is>
      </c>
      <c r="E157" t="inlineStr">
        <is>
          <t>VÄNERSBORG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12760-2025</t>
        </is>
      </c>
      <c r="B158" s="1" t="n">
        <v>45733.57016203704</v>
      </c>
      <c r="C158" s="1" t="n">
        <v>45890</v>
      </c>
      <c r="D158" t="inlineStr">
        <is>
          <t>VÄSTRA GÖTALANDS LÄN</t>
        </is>
      </c>
      <c r="E158" t="inlineStr">
        <is>
          <t>VÄNERSBORG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23060-2025</t>
        </is>
      </c>
      <c r="B159" s="1" t="n">
        <v>45790</v>
      </c>
      <c r="C159" s="1" t="n">
        <v>45890</v>
      </c>
      <c r="D159" t="inlineStr">
        <is>
          <t>VÄSTRA GÖTALANDS LÄN</t>
        </is>
      </c>
      <c r="E159" t="inlineStr">
        <is>
          <t>VÄNERSBORG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11653-2025</t>
        </is>
      </c>
      <c r="B160" s="1" t="n">
        <v>45727.48202546296</v>
      </c>
      <c r="C160" s="1" t="n">
        <v>45890</v>
      </c>
      <c r="D160" t="inlineStr">
        <is>
          <t>VÄSTRA GÖTALANDS LÄN</t>
        </is>
      </c>
      <c r="E160" t="inlineStr">
        <is>
          <t>VÄNERSBORG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14752-2025</t>
        </is>
      </c>
      <c r="B161" s="1" t="n">
        <v>45742.66047453704</v>
      </c>
      <c r="C161" s="1" t="n">
        <v>45890</v>
      </c>
      <c r="D161" t="inlineStr">
        <is>
          <t>VÄSTRA GÖTALANDS LÄN</t>
        </is>
      </c>
      <c r="E161" t="inlineStr">
        <is>
          <t>VÄNERSBORG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13196-2025</t>
        </is>
      </c>
      <c r="B162" s="1" t="n">
        <v>45735.42291666667</v>
      </c>
      <c r="C162" s="1" t="n">
        <v>45890</v>
      </c>
      <c r="D162" t="inlineStr">
        <is>
          <t>VÄSTRA GÖTALANDS LÄN</t>
        </is>
      </c>
      <c r="E162" t="inlineStr">
        <is>
          <t>VÄNERSBORG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13666-2025</t>
        </is>
      </c>
      <c r="B163" s="1" t="n">
        <v>45736.8315162037</v>
      </c>
      <c r="C163" s="1" t="n">
        <v>45890</v>
      </c>
      <c r="D163" t="inlineStr">
        <is>
          <t>VÄSTRA GÖTALANDS LÄN</t>
        </is>
      </c>
      <c r="E163" t="inlineStr">
        <is>
          <t>VÄNERSBORG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13674-2025</t>
        </is>
      </c>
      <c r="B164" s="1" t="n">
        <v>45736.9021875</v>
      </c>
      <c r="C164" s="1" t="n">
        <v>45890</v>
      </c>
      <c r="D164" t="inlineStr">
        <is>
          <t>VÄSTRA GÖTALANDS LÄN</t>
        </is>
      </c>
      <c r="E164" t="inlineStr">
        <is>
          <t>VÄNERSBORG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18997-2024</t>
        </is>
      </c>
      <c r="B165" s="1" t="n">
        <v>45427.62200231481</v>
      </c>
      <c r="C165" s="1" t="n">
        <v>45890</v>
      </c>
      <c r="D165" t="inlineStr">
        <is>
          <t>VÄSTRA GÖTALANDS LÄN</t>
        </is>
      </c>
      <c r="E165" t="inlineStr">
        <is>
          <t>VÄNERSBORG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505-2023</t>
        </is>
      </c>
      <c r="B166" s="1" t="n">
        <v>44930.35895833333</v>
      </c>
      <c r="C166" s="1" t="n">
        <v>45890</v>
      </c>
      <c r="D166" t="inlineStr">
        <is>
          <t>VÄSTRA GÖTALANDS LÄN</t>
        </is>
      </c>
      <c r="E166" t="inlineStr">
        <is>
          <t>VÄNERSBORG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6056-2021</t>
        </is>
      </c>
      <c r="B167" s="1" t="n">
        <v>44231</v>
      </c>
      <c r="C167" s="1" t="n">
        <v>45890</v>
      </c>
      <c r="D167" t="inlineStr">
        <is>
          <t>VÄSTRA GÖTALANDS LÄN</t>
        </is>
      </c>
      <c r="E167" t="inlineStr">
        <is>
          <t>VÄNERSBORG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22631-2022</t>
        </is>
      </c>
      <c r="B168" s="1" t="n">
        <v>44714.44008101852</v>
      </c>
      <c r="C168" s="1" t="n">
        <v>45890</v>
      </c>
      <c r="D168" t="inlineStr">
        <is>
          <t>VÄSTRA GÖTALANDS LÄN</t>
        </is>
      </c>
      <c r="E168" t="inlineStr">
        <is>
          <t>VÄNERSBORG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17932-2023</t>
        </is>
      </c>
      <c r="B169" s="1" t="n">
        <v>45040</v>
      </c>
      <c r="C169" s="1" t="n">
        <v>45890</v>
      </c>
      <c r="D169" t="inlineStr">
        <is>
          <t>VÄSTRA GÖTALANDS LÄN</t>
        </is>
      </c>
      <c r="E169" t="inlineStr">
        <is>
          <t>VÄNERSBORG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24940-2023</t>
        </is>
      </c>
      <c r="B170" s="1" t="n">
        <v>45085.54883101852</v>
      </c>
      <c r="C170" s="1" t="n">
        <v>45890</v>
      </c>
      <c r="D170" t="inlineStr">
        <is>
          <t>VÄSTRA GÖTALANDS LÄN</t>
        </is>
      </c>
      <c r="E170" t="inlineStr">
        <is>
          <t>VÄNERSBORG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7243-2025</t>
        </is>
      </c>
      <c r="B171" s="1" t="n">
        <v>45702.5430324074</v>
      </c>
      <c r="C171" s="1" t="n">
        <v>45890</v>
      </c>
      <c r="D171" t="inlineStr">
        <is>
          <t>VÄSTRA GÖTALANDS LÄN</t>
        </is>
      </c>
      <c r="E171" t="inlineStr">
        <is>
          <t>VÄNERSBORG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10444-2022</t>
        </is>
      </c>
      <c r="B172" s="1" t="n">
        <v>44623</v>
      </c>
      <c r="C172" s="1" t="n">
        <v>45890</v>
      </c>
      <c r="D172" t="inlineStr">
        <is>
          <t>VÄSTRA GÖTALANDS LÄN</t>
        </is>
      </c>
      <c r="E172" t="inlineStr">
        <is>
          <t>VÄNERSBORG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28190-2022</t>
        </is>
      </c>
      <c r="B173" s="1" t="n">
        <v>44746.58916666666</v>
      </c>
      <c r="C173" s="1" t="n">
        <v>45890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12385-2025</t>
        </is>
      </c>
      <c r="B174" s="1" t="n">
        <v>45730.38883101852</v>
      </c>
      <c r="C174" s="1" t="n">
        <v>45890</v>
      </c>
      <c r="D174" t="inlineStr">
        <is>
          <t>VÄSTRA GÖTALANDS LÄN</t>
        </is>
      </c>
      <c r="E174" t="inlineStr">
        <is>
          <t>VÄNERSBORG</t>
        </is>
      </c>
      <c r="F174" t="inlineStr">
        <is>
          <t>Kommuner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20536-2023</t>
        </is>
      </c>
      <c r="B175" s="1" t="n">
        <v>45057</v>
      </c>
      <c r="C175" s="1" t="n">
        <v>45890</v>
      </c>
      <c r="D175" t="inlineStr">
        <is>
          <t>VÄSTRA GÖTALANDS LÄN</t>
        </is>
      </c>
      <c r="E175" t="inlineStr">
        <is>
          <t>VÄNERSBORG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11883-2025</t>
        </is>
      </c>
      <c r="B176" s="1" t="n">
        <v>45728</v>
      </c>
      <c r="C176" s="1" t="n">
        <v>45890</v>
      </c>
      <c r="D176" t="inlineStr">
        <is>
          <t>VÄSTRA GÖTALANDS LÄN</t>
        </is>
      </c>
      <c r="E176" t="inlineStr">
        <is>
          <t>VÄNERSBORG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6167-2024</t>
        </is>
      </c>
      <c r="B177" s="1" t="n">
        <v>45337</v>
      </c>
      <c r="C177" s="1" t="n">
        <v>45890</v>
      </c>
      <c r="D177" t="inlineStr">
        <is>
          <t>VÄSTRA GÖTALANDS LÄN</t>
        </is>
      </c>
      <c r="E177" t="inlineStr">
        <is>
          <t>VÄNERSBORG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28385-2022</t>
        </is>
      </c>
      <c r="B178" s="1" t="n">
        <v>44747.55924768518</v>
      </c>
      <c r="C178" s="1" t="n">
        <v>45890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9732-2023</t>
        </is>
      </c>
      <c r="B179" s="1" t="n">
        <v>44978</v>
      </c>
      <c r="C179" s="1" t="n">
        <v>45890</v>
      </c>
      <c r="D179" t="inlineStr">
        <is>
          <t>VÄSTRA GÖTALANDS LÄN</t>
        </is>
      </c>
      <c r="E179" t="inlineStr">
        <is>
          <t>VÄNERSBORG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24560-2025</t>
        </is>
      </c>
      <c r="B180" s="1" t="n">
        <v>45798.45908564814</v>
      </c>
      <c r="C180" s="1" t="n">
        <v>45890</v>
      </c>
      <c r="D180" t="inlineStr">
        <is>
          <t>VÄSTRA GÖTALANDS LÄN</t>
        </is>
      </c>
      <c r="E180" t="inlineStr">
        <is>
          <t>VÄNERSBORG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23441-2021</t>
        </is>
      </c>
      <c r="B181" s="1" t="n">
        <v>44333</v>
      </c>
      <c r="C181" s="1" t="n">
        <v>45890</v>
      </c>
      <c r="D181" t="inlineStr">
        <is>
          <t>VÄSTRA GÖTALANDS LÄN</t>
        </is>
      </c>
      <c r="E181" t="inlineStr">
        <is>
          <t>VÄNERSBORG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24892-2025</t>
        </is>
      </c>
      <c r="B182" s="1" t="n">
        <v>45799.51231481481</v>
      </c>
      <c r="C182" s="1" t="n">
        <v>45890</v>
      </c>
      <c r="D182" t="inlineStr">
        <is>
          <t>VÄSTRA GÖTALANDS LÄN</t>
        </is>
      </c>
      <c r="E182" t="inlineStr">
        <is>
          <t>VÄNERSBORG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24832-2025</t>
        </is>
      </c>
      <c r="B183" s="1" t="n">
        <v>45799.4587962963</v>
      </c>
      <c r="C183" s="1" t="n">
        <v>45890</v>
      </c>
      <c r="D183" t="inlineStr">
        <is>
          <t>VÄSTRA GÖTALANDS LÄN</t>
        </is>
      </c>
      <c r="E183" t="inlineStr">
        <is>
          <t>VÄNERSBORG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24882-2025</t>
        </is>
      </c>
      <c r="B184" s="1" t="n">
        <v>45799.49961805555</v>
      </c>
      <c r="C184" s="1" t="n">
        <v>45890</v>
      </c>
      <c r="D184" t="inlineStr">
        <is>
          <t>VÄSTRA GÖTALANDS LÄN</t>
        </is>
      </c>
      <c r="E184" t="inlineStr">
        <is>
          <t>VÄNERSBORG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24897-2025</t>
        </is>
      </c>
      <c r="B185" s="1" t="n">
        <v>45799.51752314815</v>
      </c>
      <c r="C185" s="1" t="n">
        <v>45890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7640-2024</t>
        </is>
      </c>
      <c r="B186" s="1" t="n">
        <v>45348.64657407408</v>
      </c>
      <c r="C186" s="1" t="n">
        <v>45890</v>
      </c>
      <c r="D186" t="inlineStr">
        <is>
          <t>VÄSTRA GÖTALANDS LÄN</t>
        </is>
      </c>
      <c r="E186" t="inlineStr">
        <is>
          <t>VÄNERSBORG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17077-2023</t>
        </is>
      </c>
      <c r="B187" s="1" t="n">
        <v>45034</v>
      </c>
      <c r="C187" s="1" t="n">
        <v>45890</v>
      </c>
      <c r="D187" t="inlineStr">
        <is>
          <t>VÄSTRA GÖTALANDS LÄN</t>
        </is>
      </c>
      <c r="E187" t="inlineStr">
        <is>
          <t>VÄNERSBORG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24549-2025</t>
        </is>
      </c>
      <c r="B188" s="1" t="n">
        <v>45798.44802083333</v>
      </c>
      <c r="C188" s="1" t="n">
        <v>45890</v>
      </c>
      <c r="D188" t="inlineStr">
        <is>
          <t>VÄSTRA GÖTALANDS LÄN</t>
        </is>
      </c>
      <c r="E188" t="inlineStr">
        <is>
          <t>VÄNERSBORG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24567-2025</t>
        </is>
      </c>
      <c r="B189" s="1" t="n">
        <v>45798.46579861111</v>
      </c>
      <c r="C189" s="1" t="n">
        <v>45890</v>
      </c>
      <c r="D189" t="inlineStr">
        <is>
          <t>VÄSTRA GÖTALANDS LÄN</t>
        </is>
      </c>
      <c r="E189" t="inlineStr">
        <is>
          <t>VÄNERSBORG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24894-2025</t>
        </is>
      </c>
      <c r="B190" s="1" t="n">
        <v>45799.51355324074</v>
      </c>
      <c r="C190" s="1" t="n">
        <v>45890</v>
      </c>
      <c r="D190" t="inlineStr">
        <is>
          <t>VÄSTRA GÖTALANDS LÄN</t>
        </is>
      </c>
      <c r="E190" t="inlineStr">
        <is>
          <t>VÄNERSBORG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9169-2023</t>
        </is>
      </c>
      <c r="B191" s="1" t="n">
        <v>44980.41365740741</v>
      </c>
      <c r="C191" s="1" t="n">
        <v>45890</v>
      </c>
      <c r="D191" t="inlineStr">
        <is>
          <t>VÄSTRA GÖTALANDS LÄN</t>
        </is>
      </c>
      <c r="E191" t="inlineStr">
        <is>
          <t>VÄNERSBORG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25575-2025</t>
        </is>
      </c>
      <c r="B192" s="1" t="n">
        <v>45803.47547453704</v>
      </c>
      <c r="C192" s="1" t="n">
        <v>45890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56734-2023</t>
        </is>
      </c>
      <c r="B193" s="1" t="n">
        <v>45244.35234953704</v>
      </c>
      <c r="C193" s="1" t="n">
        <v>45890</v>
      </c>
      <c r="D193" t="inlineStr">
        <is>
          <t>VÄSTRA GÖTALANDS LÄN</t>
        </is>
      </c>
      <c r="E193" t="inlineStr">
        <is>
          <t>VÄNERSBORG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46520-2024</t>
        </is>
      </c>
      <c r="B194" s="1" t="n">
        <v>45582</v>
      </c>
      <c r="C194" s="1" t="n">
        <v>45890</v>
      </c>
      <c r="D194" t="inlineStr">
        <is>
          <t>VÄSTRA GÖTALANDS LÄN</t>
        </is>
      </c>
      <c r="E194" t="inlineStr">
        <is>
          <t>VÄNERSBORG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18715-2023</t>
        </is>
      </c>
      <c r="B195" s="1" t="n">
        <v>45043.65006944445</v>
      </c>
      <c r="C195" s="1" t="n">
        <v>45890</v>
      </c>
      <c r="D195" t="inlineStr">
        <is>
          <t>VÄSTRA GÖTALANDS LÄN</t>
        </is>
      </c>
      <c r="E195" t="inlineStr">
        <is>
          <t>VÄNERSBORG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26025-2025</t>
        </is>
      </c>
      <c r="B196" s="1" t="n">
        <v>45804</v>
      </c>
      <c r="C196" s="1" t="n">
        <v>45890</v>
      </c>
      <c r="D196" t="inlineStr">
        <is>
          <t>VÄSTRA GÖTALANDS LÄN</t>
        </is>
      </c>
      <c r="E196" t="inlineStr">
        <is>
          <t>VÄNERSBORG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14798-2024</t>
        </is>
      </c>
      <c r="B197" s="1" t="n">
        <v>45397.90431712963</v>
      </c>
      <c r="C197" s="1" t="n">
        <v>45890</v>
      </c>
      <c r="D197" t="inlineStr">
        <is>
          <t>VÄSTRA GÖTALANDS LÄN</t>
        </is>
      </c>
      <c r="E197" t="inlineStr">
        <is>
          <t>VÄNERSBORG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HYPERLINK("https://klasma.github.io/Logging_1487/knärot/A 14798-2024 karta knärot.png", "A 14798-2024")</f>
        <v/>
      </c>
      <c r="V197">
        <f>HYPERLINK("https://klasma.github.io/Logging_1487/klagomål/A 14798-2024 FSC-klagomål.docx", "A 14798-2024")</f>
        <v/>
      </c>
      <c r="W197">
        <f>HYPERLINK("https://klasma.github.io/Logging_1487/klagomålsmail/A 14798-2024 FSC-klagomål mail.docx", "A 14798-2024")</f>
        <v/>
      </c>
      <c r="X197">
        <f>HYPERLINK("https://klasma.github.io/Logging_1487/tillsyn/A 14798-2024 tillsynsbegäran.docx", "A 14798-2024")</f>
        <v/>
      </c>
      <c r="Y197">
        <f>HYPERLINK("https://klasma.github.io/Logging_1487/tillsynsmail/A 14798-2024 tillsynsbegäran mail.docx", "A 14798-2024")</f>
        <v/>
      </c>
    </row>
    <row r="198" ht="15" customHeight="1">
      <c r="A198" t="inlineStr">
        <is>
          <t>A 26247-2025</t>
        </is>
      </c>
      <c r="B198" s="1" t="n">
        <v>45805</v>
      </c>
      <c r="C198" s="1" t="n">
        <v>45890</v>
      </c>
      <c r="D198" t="inlineStr">
        <is>
          <t>VÄSTRA GÖTALANDS LÄN</t>
        </is>
      </c>
      <c r="E198" t="inlineStr">
        <is>
          <t>VÄNERSBORG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24107-2024</t>
        </is>
      </c>
      <c r="B199" s="1" t="n">
        <v>45456</v>
      </c>
      <c r="C199" s="1" t="n">
        <v>45890</v>
      </c>
      <c r="D199" t="inlineStr">
        <is>
          <t>VÄSTRA GÖTALANDS LÄN</t>
        </is>
      </c>
      <c r="E199" t="inlineStr">
        <is>
          <t>VÄNERSBORG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48034-2024</t>
        </is>
      </c>
      <c r="B200" s="1" t="n">
        <v>45589.49070601852</v>
      </c>
      <c r="C200" s="1" t="n">
        <v>45890</v>
      </c>
      <c r="D200" t="inlineStr">
        <is>
          <t>VÄSTRA GÖTALANDS LÄN</t>
        </is>
      </c>
      <c r="E200" t="inlineStr">
        <is>
          <t>VÄNERSBORG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46514-2024</t>
        </is>
      </c>
      <c r="B201" s="1" t="n">
        <v>45582.62592592592</v>
      </c>
      <c r="C201" s="1" t="n">
        <v>45890</v>
      </c>
      <c r="D201" t="inlineStr">
        <is>
          <t>VÄSTRA GÖTALANDS LÄN</t>
        </is>
      </c>
      <c r="E201" t="inlineStr">
        <is>
          <t>VÄNERSBORG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46521-2024</t>
        </is>
      </c>
      <c r="B202" s="1" t="n">
        <v>45582.62986111111</v>
      </c>
      <c r="C202" s="1" t="n">
        <v>45890</v>
      </c>
      <c r="D202" t="inlineStr">
        <is>
          <t>VÄSTRA GÖTALANDS LÄN</t>
        </is>
      </c>
      <c r="E202" t="inlineStr">
        <is>
          <t>VÄNERSBORG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15602-2025</t>
        </is>
      </c>
      <c r="B203" s="1" t="n">
        <v>45748</v>
      </c>
      <c r="C203" s="1" t="n">
        <v>45890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17861-2024</t>
        </is>
      </c>
      <c r="B204" s="1" t="n">
        <v>45419.43511574074</v>
      </c>
      <c r="C204" s="1" t="n">
        <v>45890</v>
      </c>
      <c r="D204" t="inlineStr">
        <is>
          <t>VÄSTRA GÖTALANDS LÄN</t>
        </is>
      </c>
      <c r="E204" t="inlineStr">
        <is>
          <t>VÄNERSBORG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27031-2025</t>
        </is>
      </c>
      <c r="B205" s="1" t="n">
        <v>45811.5890625</v>
      </c>
      <c r="C205" s="1" t="n">
        <v>45890</v>
      </c>
      <c r="D205" t="inlineStr">
        <is>
          <t>VÄSTRA GÖTALANDS LÄN</t>
        </is>
      </c>
      <c r="E205" t="inlineStr">
        <is>
          <t>VÄNERSBORG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4736-2024</t>
        </is>
      </c>
      <c r="B206" s="1" t="n">
        <v>45328</v>
      </c>
      <c r="C206" s="1" t="n">
        <v>45890</v>
      </c>
      <c r="D206" t="inlineStr">
        <is>
          <t>VÄSTRA GÖTALANDS LÄN</t>
        </is>
      </c>
      <c r="E206" t="inlineStr">
        <is>
          <t>VÄNERSBORG</t>
        </is>
      </c>
      <c r="F206" t="inlineStr">
        <is>
          <t>Kommuner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51480-2024</t>
        </is>
      </c>
      <c r="B207" s="1" t="n">
        <v>45603</v>
      </c>
      <c r="C207" s="1" t="n">
        <v>45890</v>
      </c>
      <c r="D207" t="inlineStr">
        <is>
          <t>VÄSTRA GÖTALANDS LÄN</t>
        </is>
      </c>
      <c r="E207" t="inlineStr">
        <is>
          <t>VÄNERSBORG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6550-2021</t>
        </is>
      </c>
      <c r="B208" s="1" t="n">
        <v>44236</v>
      </c>
      <c r="C208" s="1" t="n">
        <v>45890</v>
      </c>
      <c r="D208" t="inlineStr">
        <is>
          <t>VÄSTRA GÖTALANDS LÄN</t>
        </is>
      </c>
      <c r="E208" t="inlineStr">
        <is>
          <t>VÄNERSBORG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11817-2025</t>
        </is>
      </c>
      <c r="B209" s="1" t="n">
        <v>45728.30768518519</v>
      </c>
      <c r="C209" s="1" t="n">
        <v>45890</v>
      </c>
      <c r="D209" t="inlineStr">
        <is>
          <t>VÄSTRA GÖTALANDS LÄN</t>
        </is>
      </c>
      <c r="E209" t="inlineStr">
        <is>
          <t>VÄNERSBORG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19051-2023</t>
        </is>
      </c>
      <c r="B210" s="1" t="n">
        <v>45047</v>
      </c>
      <c r="C210" s="1" t="n">
        <v>45890</v>
      </c>
      <c r="D210" t="inlineStr">
        <is>
          <t>VÄSTRA GÖTALANDS LÄN</t>
        </is>
      </c>
      <c r="E210" t="inlineStr">
        <is>
          <t>VÄNERSBORG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10515-2025</t>
        </is>
      </c>
      <c r="B211" s="1" t="n">
        <v>45721.423125</v>
      </c>
      <c r="C211" s="1" t="n">
        <v>45890</v>
      </c>
      <c r="D211" t="inlineStr">
        <is>
          <t>VÄSTRA GÖTALANDS LÄN</t>
        </is>
      </c>
      <c r="E211" t="inlineStr">
        <is>
          <t>VÄNERSBORG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1385-2025</t>
        </is>
      </c>
      <c r="B212" s="1" t="n">
        <v>45667.66609953704</v>
      </c>
      <c r="C212" s="1" t="n">
        <v>45890</v>
      </c>
      <c r="D212" t="inlineStr">
        <is>
          <t>VÄSTRA GÖTALANDS LÄN</t>
        </is>
      </c>
      <c r="E212" t="inlineStr">
        <is>
          <t>VÄNERSBORG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59692-2023</t>
        </is>
      </c>
      <c r="B213" s="1" t="n">
        <v>45256</v>
      </c>
      <c r="C213" s="1" t="n">
        <v>45890</v>
      </c>
      <c r="D213" t="inlineStr">
        <is>
          <t>VÄSTRA GÖTALANDS LÄN</t>
        </is>
      </c>
      <c r="E213" t="inlineStr">
        <is>
          <t>VÄNERSBORG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33915-2023</t>
        </is>
      </c>
      <c r="B214" s="1" t="n">
        <v>45134.43918981482</v>
      </c>
      <c r="C214" s="1" t="n">
        <v>45890</v>
      </c>
      <c r="D214" t="inlineStr">
        <is>
          <t>VÄSTRA GÖTALANDS LÄN</t>
        </is>
      </c>
      <c r="E214" t="inlineStr">
        <is>
          <t>VÄNERSBORG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21140-2023</t>
        </is>
      </c>
      <c r="B215" s="1" t="n">
        <v>45062.36817129629</v>
      </c>
      <c r="C215" s="1" t="n">
        <v>45890</v>
      </c>
      <c r="D215" t="inlineStr">
        <is>
          <t>VÄSTRA GÖTALANDS LÄN</t>
        </is>
      </c>
      <c r="E215" t="inlineStr">
        <is>
          <t>VÄNERSBORG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27867-2025</t>
        </is>
      </c>
      <c r="B216" s="1" t="n">
        <v>45817.42643518518</v>
      </c>
      <c r="C216" s="1" t="n">
        <v>45890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49131-2024</t>
        </is>
      </c>
      <c r="B217" s="1" t="n">
        <v>45594.68315972222</v>
      </c>
      <c r="C217" s="1" t="n">
        <v>45890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28264-2025</t>
        </is>
      </c>
      <c r="B218" s="1" t="n">
        <v>45818.55997685185</v>
      </c>
      <c r="C218" s="1" t="n">
        <v>45890</v>
      </c>
      <c r="D218" t="inlineStr">
        <is>
          <t>VÄSTRA GÖTALANDS LÄN</t>
        </is>
      </c>
      <c r="E218" t="inlineStr">
        <is>
          <t>VÄNERSBORG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28265-2025</t>
        </is>
      </c>
      <c r="B219" s="1" t="n">
        <v>45818.56096064814</v>
      </c>
      <c r="C219" s="1" t="n">
        <v>45890</v>
      </c>
      <c r="D219" t="inlineStr">
        <is>
          <t>VÄSTRA GÖTALANDS LÄN</t>
        </is>
      </c>
      <c r="E219" t="inlineStr">
        <is>
          <t>VÄNERSBORG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28261-2025</t>
        </is>
      </c>
      <c r="B220" s="1" t="n">
        <v>45818.55596064815</v>
      </c>
      <c r="C220" s="1" t="n">
        <v>45890</v>
      </c>
      <c r="D220" t="inlineStr">
        <is>
          <t>VÄSTRA GÖTALANDS LÄN</t>
        </is>
      </c>
      <c r="E220" t="inlineStr">
        <is>
          <t>VÄNERSBORG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28263-2025</t>
        </is>
      </c>
      <c r="B221" s="1" t="n">
        <v>45818.55798611111</v>
      </c>
      <c r="C221" s="1" t="n">
        <v>45890</v>
      </c>
      <c r="D221" t="inlineStr">
        <is>
          <t>VÄSTRA GÖTALANDS LÄN</t>
        </is>
      </c>
      <c r="E221" t="inlineStr">
        <is>
          <t>VÄNERSBORG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43621-2021</t>
        </is>
      </c>
      <c r="B222" s="1" t="n">
        <v>44433</v>
      </c>
      <c r="C222" s="1" t="n">
        <v>45890</v>
      </c>
      <c r="D222" t="inlineStr">
        <is>
          <t>VÄSTRA GÖTALANDS LÄN</t>
        </is>
      </c>
      <c r="E222" t="inlineStr">
        <is>
          <t>VÄNERSBORG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33942-2023</t>
        </is>
      </c>
      <c r="B223" s="1" t="n">
        <v>45134</v>
      </c>
      <c r="C223" s="1" t="n">
        <v>45890</v>
      </c>
      <c r="D223" t="inlineStr">
        <is>
          <t>VÄSTRA GÖTALANDS LÄN</t>
        </is>
      </c>
      <c r="E223" t="inlineStr">
        <is>
          <t>VÄNERSBORG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28960-2025</t>
        </is>
      </c>
      <c r="B224" s="1" t="n">
        <v>45821.31986111111</v>
      </c>
      <c r="C224" s="1" t="n">
        <v>45890</v>
      </c>
      <c r="D224" t="inlineStr">
        <is>
          <t>VÄSTRA GÖTALANDS LÄN</t>
        </is>
      </c>
      <c r="E224" t="inlineStr">
        <is>
          <t>VÄNERSBORG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20793-2023</t>
        </is>
      </c>
      <c r="B225" s="1" t="n">
        <v>45058.60979166667</v>
      </c>
      <c r="C225" s="1" t="n">
        <v>45890</v>
      </c>
      <c r="D225" t="inlineStr">
        <is>
          <t>VÄSTRA GÖTALANDS LÄN</t>
        </is>
      </c>
      <c r="E225" t="inlineStr">
        <is>
          <t>VÄNERSBORG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36101-2025</t>
        </is>
      </c>
      <c r="B226" s="1" t="n">
        <v>45866.53873842592</v>
      </c>
      <c r="C226" s="1" t="n">
        <v>45890</v>
      </c>
      <c r="D226" t="inlineStr">
        <is>
          <t>VÄSTRA GÖTALANDS LÄN</t>
        </is>
      </c>
      <c r="E226" t="inlineStr">
        <is>
          <t>VÄNERSBORG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50052-2024</t>
        </is>
      </c>
      <c r="B227" s="1" t="n">
        <v>45600.33385416667</v>
      </c>
      <c r="C227" s="1" t="n">
        <v>45890</v>
      </c>
      <c r="D227" t="inlineStr">
        <is>
          <t>VÄSTRA GÖTALANDS LÄN</t>
        </is>
      </c>
      <c r="E227" t="inlineStr">
        <is>
          <t>VÄNERSBORG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61566-2024</t>
        </is>
      </c>
      <c r="B228" s="1" t="n">
        <v>45646.61444444444</v>
      </c>
      <c r="C228" s="1" t="n">
        <v>45890</v>
      </c>
      <c r="D228" t="inlineStr">
        <is>
          <t>VÄSTRA GÖTALANDS LÄN</t>
        </is>
      </c>
      <c r="E228" t="inlineStr">
        <is>
          <t>VÄNERSBORG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3880-2022</t>
        </is>
      </c>
      <c r="B229" s="1" t="n">
        <v>44587.45909722222</v>
      </c>
      <c r="C229" s="1" t="n">
        <v>45890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49481-2023</t>
        </is>
      </c>
      <c r="B230" s="1" t="n">
        <v>45211</v>
      </c>
      <c r="C230" s="1" t="n">
        <v>45890</v>
      </c>
      <c r="D230" t="inlineStr">
        <is>
          <t>VÄSTRA GÖTALANDS LÄN</t>
        </is>
      </c>
      <c r="E230" t="inlineStr">
        <is>
          <t>VÄNERSBORG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7590-2024</t>
        </is>
      </c>
      <c r="B231" s="1" t="n">
        <v>45348</v>
      </c>
      <c r="C231" s="1" t="n">
        <v>45890</v>
      </c>
      <c r="D231" t="inlineStr">
        <is>
          <t>VÄSTRA GÖTALANDS LÄN</t>
        </is>
      </c>
      <c r="E231" t="inlineStr">
        <is>
          <t>VÄNERSBORG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27232-2024</t>
        </is>
      </c>
      <c r="B232" s="1" t="n">
        <v>45471</v>
      </c>
      <c r="C232" s="1" t="n">
        <v>45890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29820-2025</t>
        </is>
      </c>
      <c r="B233" s="1" t="n">
        <v>45825.84993055555</v>
      </c>
      <c r="C233" s="1" t="n">
        <v>45890</v>
      </c>
      <c r="D233" t="inlineStr">
        <is>
          <t>VÄSTRA GÖTALANDS LÄN</t>
        </is>
      </c>
      <c r="E233" t="inlineStr">
        <is>
          <t>VÄNERSBORG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61731-2024</t>
        </is>
      </c>
      <c r="B234" s="1" t="n">
        <v>45649.34305555555</v>
      </c>
      <c r="C234" s="1" t="n">
        <v>45890</v>
      </c>
      <c r="D234" t="inlineStr">
        <is>
          <t>VÄSTRA GÖTALANDS LÄN</t>
        </is>
      </c>
      <c r="E234" t="inlineStr">
        <is>
          <t>VÄNERSBORG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63509-2023</t>
        </is>
      </c>
      <c r="B235" s="1" t="n">
        <v>45274</v>
      </c>
      <c r="C235" s="1" t="n">
        <v>45890</v>
      </c>
      <c r="D235" t="inlineStr">
        <is>
          <t>VÄSTRA GÖTALANDS LÄN</t>
        </is>
      </c>
      <c r="E235" t="inlineStr">
        <is>
          <t>VÄNERSBORG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44784.4495949074</v>
      </c>
      <c r="C236" s="1" t="n">
        <v>45890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29840-2025</t>
        </is>
      </c>
      <c r="B237" s="1" t="n">
        <v>45826.29282407407</v>
      </c>
      <c r="C237" s="1" t="n">
        <v>45890</v>
      </c>
      <c r="D237" t="inlineStr">
        <is>
          <t>VÄSTRA GÖTALANDS LÄN</t>
        </is>
      </c>
      <c r="E237" t="inlineStr">
        <is>
          <t>VÄNERSBORG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43987-2022</t>
        </is>
      </c>
      <c r="B238" s="1" t="n">
        <v>44838.66666666666</v>
      </c>
      <c r="C238" s="1" t="n">
        <v>45890</v>
      </c>
      <c r="D238" t="inlineStr">
        <is>
          <t>VÄSTRA GÖTALANDS LÄN</t>
        </is>
      </c>
      <c r="E238" t="inlineStr">
        <is>
          <t>VÄNERSBORG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30621-2025</t>
        </is>
      </c>
      <c r="B239" s="1" t="n">
        <v>45831.47098379629</v>
      </c>
      <c r="C239" s="1" t="n">
        <v>45890</v>
      </c>
      <c r="D239" t="inlineStr">
        <is>
          <t>VÄSTRA GÖTALANDS LÄN</t>
        </is>
      </c>
      <c r="E239" t="inlineStr">
        <is>
          <t>VÄNERSBORG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57699-2023</t>
        </is>
      </c>
      <c r="B240" s="1" t="n">
        <v>45246</v>
      </c>
      <c r="C240" s="1" t="n">
        <v>45890</v>
      </c>
      <c r="D240" t="inlineStr">
        <is>
          <t>VÄSTRA GÖTALANDS LÄN</t>
        </is>
      </c>
      <c r="E240" t="inlineStr">
        <is>
          <t>VÄNERSBORG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13334-2022</t>
        </is>
      </c>
      <c r="B241" s="1" t="n">
        <v>44645.37586805555</v>
      </c>
      <c r="C241" s="1" t="n">
        <v>45890</v>
      </c>
      <c r="D241" t="inlineStr">
        <is>
          <t>VÄSTRA GÖTALANDS LÄN</t>
        </is>
      </c>
      <c r="E241" t="inlineStr">
        <is>
          <t>VÄNERSBORG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39899-2023</t>
        </is>
      </c>
      <c r="B242" s="1" t="n">
        <v>45166</v>
      </c>
      <c r="C242" s="1" t="n">
        <v>45890</v>
      </c>
      <c r="D242" t="inlineStr">
        <is>
          <t>VÄSTRA GÖTALANDS LÄN</t>
        </is>
      </c>
      <c r="E242" t="inlineStr">
        <is>
          <t>VÄNERSBORG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11689-2025</t>
        </is>
      </c>
      <c r="B243" s="1" t="n">
        <v>45727.55900462963</v>
      </c>
      <c r="C243" s="1" t="n">
        <v>45890</v>
      </c>
      <c r="D243" t="inlineStr">
        <is>
          <t>VÄSTRA GÖTALANDS LÄN</t>
        </is>
      </c>
      <c r="E243" t="inlineStr">
        <is>
          <t>VÄNERSBORG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40363-2024</t>
        </is>
      </c>
      <c r="B244" s="1" t="n">
        <v>45555.37961805556</v>
      </c>
      <c r="C244" s="1" t="n">
        <v>45890</v>
      </c>
      <c r="D244" t="inlineStr">
        <is>
          <t>VÄSTRA GÖTALANDS LÄN</t>
        </is>
      </c>
      <c r="E244" t="inlineStr">
        <is>
          <t>VÄNERSBORG</t>
        </is>
      </c>
      <c r="G244" t="n">
        <v>14.7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16922-2024</t>
        </is>
      </c>
      <c r="B245" s="1" t="n">
        <v>45411.65899305556</v>
      </c>
      <c r="C245" s="1" t="n">
        <v>45890</v>
      </c>
      <c r="D245" t="inlineStr">
        <is>
          <t>VÄSTRA GÖTALANDS LÄN</t>
        </is>
      </c>
      <c r="E245" t="inlineStr">
        <is>
          <t>VÄNERSBORG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50002-2023</t>
        </is>
      </c>
      <c r="B246" s="1" t="n">
        <v>45215</v>
      </c>
      <c r="C246" s="1" t="n">
        <v>45890</v>
      </c>
      <c r="D246" t="inlineStr">
        <is>
          <t>VÄSTRA GÖTALANDS LÄN</t>
        </is>
      </c>
      <c r="E246" t="inlineStr">
        <is>
          <t>VÄNERSBORG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6179-2024</t>
        </is>
      </c>
      <c r="B247" s="1" t="n">
        <v>45337</v>
      </c>
      <c r="C247" s="1" t="n">
        <v>45890</v>
      </c>
      <c r="D247" t="inlineStr">
        <is>
          <t>VÄSTRA GÖTALANDS LÄN</t>
        </is>
      </c>
      <c r="E247" t="inlineStr">
        <is>
          <t>VÄNERSBORG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5932-2021</t>
        </is>
      </c>
      <c r="B248" s="1" t="n">
        <v>44229</v>
      </c>
      <c r="C248" s="1" t="n">
        <v>45890</v>
      </c>
      <c r="D248" t="inlineStr">
        <is>
          <t>VÄSTRA GÖTALANDS LÄN</t>
        </is>
      </c>
      <c r="E248" t="inlineStr">
        <is>
          <t>VÄNERSBORG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48163-2024</t>
        </is>
      </c>
      <c r="B249" s="1" t="n">
        <v>45589</v>
      </c>
      <c r="C249" s="1" t="n">
        <v>45890</v>
      </c>
      <c r="D249" t="inlineStr">
        <is>
          <t>VÄSTRA GÖTALANDS LÄN</t>
        </is>
      </c>
      <c r="E249" t="inlineStr">
        <is>
          <t>VÄNERSBORG</t>
        </is>
      </c>
      <c r="G249" t="n">
        <v>14.4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15102-2024</t>
        </is>
      </c>
      <c r="B250" s="1" t="n">
        <v>45399.66299768518</v>
      </c>
      <c r="C250" s="1" t="n">
        <v>45890</v>
      </c>
      <c r="D250" t="inlineStr">
        <is>
          <t>VÄSTRA GÖTALANDS LÄN</t>
        </is>
      </c>
      <c r="E250" t="inlineStr">
        <is>
          <t>VÄNERSBORG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15108-2024</t>
        </is>
      </c>
      <c r="B251" s="1" t="n">
        <v>45399.66778935185</v>
      </c>
      <c r="C251" s="1" t="n">
        <v>45890</v>
      </c>
      <c r="D251" t="inlineStr">
        <is>
          <t>VÄSTRA GÖTALANDS LÄN</t>
        </is>
      </c>
      <c r="E251" t="inlineStr">
        <is>
          <t>VÄNERSBORG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13698-2024</t>
        </is>
      </c>
      <c r="B252" s="1" t="n">
        <v>45390</v>
      </c>
      <c r="C252" s="1" t="n">
        <v>45890</v>
      </c>
      <c r="D252" t="inlineStr">
        <is>
          <t>VÄSTRA GÖTALANDS LÄN</t>
        </is>
      </c>
      <c r="E252" t="inlineStr">
        <is>
          <t>VÄNERSBORG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56829-2023</t>
        </is>
      </c>
      <c r="B253" s="1" t="n">
        <v>45244.46680555555</v>
      </c>
      <c r="C253" s="1" t="n">
        <v>45890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55794-2023</t>
        </is>
      </c>
      <c r="B254" s="1" t="n">
        <v>45239.54755787037</v>
      </c>
      <c r="C254" s="1" t="n">
        <v>45890</v>
      </c>
      <c r="D254" t="inlineStr">
        <is>
          <t>VÄSTRA GÖTALANDS LÄN</t>
        </is>
      </c>
      <c r="E254" t="inlineStr">
        <is>
          <t>VÄNERSBORG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23700-2023</t>
        </is>
      </c>
      <c r="B255" s="1" t="n">
        <v>45077.62905092593</v>
      </c>
      <c r="C255" s="1" t="n">
        <v>45890</v>
      </c>
      <c r="D255" t="inlineStr">
        <is>
          <t>VÄSTRA GÖTALANDS LÄN</t>
        </is>
      </c>
      <c r="E255" t="inlineStr">
        <is>
          <t>VÄNERSBORG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6270-2023</t>
        </is>
      </c>
      <c r="B256" s="1" t="n">
        <v>44965.39467592593</v>
      </c>
      <c r="C256" s="1" t="n">
        <v>45890</v>
      </c>
      <c r="D256" t="inlineStr">
        <is>
          <t>VÄSTRA GÖTALANDS LÄN</t>
        </is>
      </c>
      <c r="E256" t="inlineStr">
        <is>
          <t>VÄNERSBORG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45056.31040509259</v>
      </c>
      <c r="C257" s="1" t="n">
        <v>45890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1749-2024</t>
        </is>
      </c>
      <c r="B258" s="1" t="n">
        <v>45307.45815972222</v>
      </c>
      <c r="C258" s="1" t="n">
        <v>45890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38614-2025</t>
        </is>
      </c>
      <c r="B259" s="1" t="n">
        <v>45884.54458333334</v>
      </c>
      <c r="C259" s="1" t="n">
        <v>45890</v>
      </c>
      <c r="D259" t="inlineStr">
        <is>
          <t>VÄSTRA GÖTALANDS LÄN</t>
        </is>
      </c>
      <c r="E259" t="inlineStr">
        <is>
          <t>VÄNERSBORG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7605-2022</t>
        </is>
      </c>
      <c r="B260" s="1" t="n">
        <v>44606</v>
      </c>
      <c r="C260" s="1" t="n">
        <v>45890</v>
      </c>
      <c r="D260" t="inlineStr">
        <is>
          <t>VÄSTRA GÖTALANDS LÄN</t>
        </is>
      </c>
      <c r="E260" t="inlineStr">
        <is>
          <t>VÄNERSBORG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32666-2025</t>
        </is>
      </c>
      <c r="B261" s="1" t="n">
        <v>45838</v>
      </c>
      <c r="C261" s="1" t="n">
        <v>45890</v>
      </c>
      <c r="D261" t="inlineStr">
        <is>
          <t>VÄSTRA GÖTALANDS LÄN</t>
        </is>
      </c>
      <c r="E261" t="inlineStr">
        <is>
          <t>VÄNERSBORG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33921-2023</t>
        </is>
      </c>
      <c r="B262" s="1" t="n">
        <v>45134.47034722222</v>
      </c>
      <c r="C262" s="1" t="n">
        <v>45890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6140-2024</t>
        </is>
      </c>
      <c r="B263" s="1" t="n">
        <v>45337</v>
      </c>
      <c r="C263" s="1" t="n">
        <v>45890</v>
      </c>
      <c r="D263" t="inlineStr">
        <is>
          <t>VÄSTRA GÖTALANDS LÄN</t>
        </is>
      </c>
      <c r="E263" t="inlineStr">
        <is>
          <t>VÄNERSBORG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50939-2024</t>
        </is>
      </c>
      <c r="B264" s="1" t="n">
        <v>45602.92913194445</v>
      </c>
      <c r="C264" s="1" t="n">
        <v>45890</v>
      </c>
      <c r="D264" t="inlineStr">
        <is>
          <t>VÄSTRA GÖTALANDS LÄN</t>
        </is>
      </c>
      <c r="E264" t="inlineStr">
        <is>
          <t>VÄNERSBORG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58972-2024</t>
        </is>
      </c>
      <c r="B265" s="1" t="n">
        <v>45636.60099537037</v>
      </c>
      <c r="C265" s="1" t="n">
        <v>45890</v>
      </c>
      <c r="D265" t="inlineStr">
        <is>
          <t>VÄSTRA GÖTALANDS LÄN</t>
        </is>
      </c>
      <c r="E265" t="inlineStr">
        <is>
          <t>VÄNERSBORG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27181-2023</t>
        </is>
      </c>
      <c r="B266" s="1" t="n">
        <v>45096.52827546297</v>
      </c>
      <c r="C266" s="1" t="n">
        <v>45890</v>
      </c>
      <c r="D266" t="inlineStr">
        <is>
          <t>VÄSTRA GÖTALANDS LÄN</t>
        </is>
      </c>
      <c r="E266" t="inlineStr">
        <is>
          <t>VÄNERSBORG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58704-2021</t>
        </is>
      </c>
      <c r="B267" s="1" t="n">
        <v>44489</v>
      </c>
      <c r="C267" s="1" t="n">
        <v>45890</v>
      </c>
      <c r="D267" t="inlineStr">
        <is>
          <t>VÄSTRA GÖTALANDS LÄN</t>
        </is>
      </c>
      <c r="E267" t="inlineStr">
        <is>
          <t>VÄNERSBORG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20280-2023</t>
        </is>
      </c>
      <c r="B268" s="1" t="n">
        <v>45056</v>
      </c>
      <c r="C268" s="1" t="n">
        <v>45890</v>
      </c>
      <c r="D268" t="inlineStr">
        <is>
          <t>VÄSTRA GÖTALANDS LÄN</t>
        </is>
      </c>
      <c r="E268" t="inlineStr">
        <is>
          <t>VÄNERSBORG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33925-2023</t>
        </is>
      </c>
      <c r="B269" s="1" t="n">
        <v>45134.48231481481</v>
      </c>
      <c r="C269" s="1" t="n">
        <v>45890</v>
      </c>
      <c r="D269" t="inlineStr">
        <is>
          <t>VÄSTRA GÖTALANDS LÄN</t>
        </is>
      </c>
      <c r="E269" t="inlineStr">
        <is>
          <t>VÄNERSBORG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43798-2024</t>
        </is>
      </c>
      <c r="B270" s="1" t="n">
        <v>45571.59386574074</v>
      </c>
      <c r="C270" s="1" t="n">
        <v>45890</v>
      </c>
      <c r="D270" t="inlineStr">
        <is>
          <t>VÄSTRA GÖTALANDS LÄN</t>
        </is>
      </c>
      <c r="E270" t="inlineStr">
        <is>
          <t>VÄNERSBORG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40939-2024</t>
        </is>
      </c>
      <c r="B271" s="1" t="n">
        <v>45558.64363425926</v>
      </c>
      <c r="C271" s="1" t="n">
        <v>45890</v>
      </c>
      <c r="D271" t="inlineStr">
        <is>
          <t>VÄSTRA GÖTALANDS LÄN</t>
        </is>
      </c>
      <c r="E271" t="inlineStr">
        <is>
          <t>VÄNERSBORG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48161-2024</t>
        </is>
      </c>
      <c r="B272" s="1" t="n">
        <v>45589</v>
      </c>
      <c r="C272" s="1" t="n">
        <v>45890</v>
      </c>
      <c r="D272" t="inlineStr">
        <is>
          <t>VÄSTRA GÖTALANDS LÄN</t>
        </is>
      </c>
      <c r="E272" t="inlineStr">
        <is>
          <t>VÄNERSBORG</t>
        </is>
      </c>
      <c r="G272" t="n">
        <v>42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16747-2023</t>
        </is>
      </c>
      <c r="B273" s="1" t="n">
        <v>45030</v>
      </c>
      <c r="C273" s="1" t="n">
        <v>45890</v>
      </c>
      <c r="D273" t="inlineStr">
        <is>
          <t>VÄSTRA GÖTALANDS LÄN</t>
        </is>
      </c>
      <c r="E273" t="inlineStr">
        <is>
          <t>VÄNERSBORG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56029-2024</t>
        </is>
      </c>
      <c r="B274" s="1" t="n">
        <v>45624.31143518518</v>
      </c>
      <c r="C274" s="1" t="n">
        <v>45890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2025-08-21T08:26:51Z</dcterms:created>
  <dcterms:modified xmlns:dcterms="http://purl.org/dc/terms/" xmlns:xsi="http://www.w3.org/2001/XMLSchema-instance" xsi:type="dcterms:W3CDTF">2025-08-21T08:26:52Z</dcterms:modified>
</cp:coreProperties>
</file>