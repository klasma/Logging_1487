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31985-2025</t>
        </is>
      </c>
      <c r="B7" s="1" t="n">
        <v>45835</v>
      </c>
      <c r="C7" s="1" t="n">
        <v>45847</v>
      </c>
      <c r="D7" t="inlineStr">
        <is>
          <t>VÄSTRA GÖTALANDS LÄN</t>
        </is>
      </c>
      <c r="E7" t="inlineStr">
        <is>
          <t>VÄNERSBORG</t>
        </is>
      </c>
      <c r="G7" t="n">
        <v>16.8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Gullviva</t>
        </is>
      </c>
      <c r="S7">
        <f>HYPERLINK("https://klasma.github.io/Logging_141487/artfynd/A 31985-2025 artfynd.xlsx", "A 31985-2025")</f>
        <v/>
      </c>
      <c r="T7">
        <f>HYPERLINK("https://klasma.github.io/Logging_141487/kartor/A 31985-2025 karta.png", "A 31985-2025")</f>
        <v/>
      </c>
      <c r="V7">
        <f>HYPERLINK("https://klasma.github.io/Logging_141487/klagomål/A 31985-2025 FSC-klagomål.docx", "A 31985-2025")</f>
        <v/>
      </c>
      <c r="W7">
        <f>HYPERLINK("https://klasma.github.io/Logging_141487/klagomålsmail/A 31985-2025 FSC-klagomål mail.docx", "A 31985-2025")</f>
        <v/>
      </c>
      <c r="X7">
        <f>HYPERLINK("https://klasma.github.io/Logging_141487/tillsyn/A 31985-2025 tillsynsbegäran.docx", "A 31985-2025")</f>
        <v/>
      </c>
      <c r="Y7">
        <f>HYPERLINK("https://klasma.github.io/Logging_141487/tillsynsmail/A 31985-2025 tillsynsbegäran mail.docx", "A 31985-2025")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45847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45847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45847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45847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45847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45847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45847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34613-2021</t>
        </is>
      </c>
      <c r="B15" s="1" t="n">
        <v>44382</v>
      </c>
      <c r="C15" s="1" t="n">
        <v>45847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HYPERLINK("https://klasma.github.io/Logging_1487/artfynd/A 34613-2021 artfynd.xlsx", "A 34613-2021")</f>
        <v/>
      </c>
      <c r="T15">
        <f>HYPERLINK("https://klasma.github.io/Logging_1487/kartor/A 34613-2021 karta.png", "A 34613-2021")</f>
        <v/>
      </c>
      <c r="V15">
        <f>HYPERLINK("https://klasma.github.io/Logging_1487/klagomål/A 34613-2021 FSC-klagomål.docx", "A 34613-2021")</f>
        <v/>
      </c>
      <c r="W15">
        <f>HYPERLINK("https://klasma.github.io/Logging_1487/klagomålsmail/A 34613-2021 FSC-klagomål mail.docx", "A 34613-2021")</f>
        <v/>
      </c>
      <c r="X15">
        <f>HYPERLINK("https://klasma.github.io/Logging_1487/tillsyn/A 34613-2021 tillsynsbegäran.docx", "A 34613-2021")</f>
        <v/>
      </c>
      <c r="Y15">
        <f>HYPERLINK("https://klasma.github.io/Logging_1487/tillsynsmail/A 34613-2021 tillsynsbegäran mail.docx", "A 34613-2021")</f>
        <v/>
      </c>
      <c r="Z15">
        <f>HYPERLINK("https://klasma.github.io/Logging_1487/fåglar/A 34613-2021 prioriterade fågelarter.docx", "A 34613-2021")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45847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29189-2022</t>
        </is>
      </c>
      <c r="B17" s="1" t="n">
        <v>44750</v>
      </c>
      <c r="C17" s="1" t="n">
        <v>45847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HYPERLINK("https://klasma.github.io/Logging_1487/artfynd/A 29189-2022 artfynd.xlsx", "A 29189-2022")</f>
        <v/>
      </c>
      <c r="T17">
        <f>HYPERLINK("https://klasma.github.io/Logging_1487/kartor/A 29189-2022 karta.png", "A 29189-2022")</f>
        <v/>
      </c>
      <c r="V17">
        <f>HYPERLINK("https://klasma.github.io/Logging_1487/klagomål/A 29189-2022 FSC-klagomål.docx", "A 29189-2022")</f>
        <v/>
      </c>
      <c r="W17">
        <f>HYPERLINK("https://klasma.github.io/Logging_1487/klagomålsmail/A 29189-2022 FSC-klagomål mail.docx", "A 29189-2022")</f>
        <v/>
      </c>
      <c r="X17">
        <f>HYPERLINK("https://klasma.github.io/Logging_1487/tillsyn/A 29189-2022 tillsynsbegäran.docx", "A 29189-2022")</f>
        <v/>
      </c>
      <c r="Y17">
        <f>HYPERLINK("https://klasma.github.io/Logging_1487/tillsynsmail/A 29189-2022 tillsynsbegäran mail.docx", "A 29189-2022")</f>
        <v/>
      </c>
      <c r="Z17">
        <f>HYPERLINK("https://klasma.github.io/Logging_1487/fåglar/A 29189-2022 prioriterade fågelarter.docx", "A 29189-2022")</f>
        <v/>
      </c>
    </row>
    <row r="18" ht="15" customHeight="1">
      <c r="A18" t="inlineStr">
        <is>
          <t>A 29376-2022</t>
        </is>
      </c>
      <c r="B18" s="1" t="n">
        <v>44753</v>
      </c>
      <c r="C18" s="1" t="n">
        <v>45847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8.300000000000001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HYPERLINK("https://klasma.github.io/Logging_1487/artfynd/A 29376-2022 artfynd.xlsx", "A 29376-2022")</f>
        <v/>
      </c>
      <c r="T18">
        <f>HYPERLINK("https://klasma.github.io/Logging_1487/kartor/A 29376-2022 karta.png", "A 29376-2022")</f>
        <v/>
      </c>
      <c r="V18">
        <f>HYPERLINK("https://klasma.github.io/Logging_1487/klagomål/A 29376-2022 FSC-klagomål.docx", "A 29376-2022")</f>
        <v/>
      </c>
      <c r="W18">
        <f>HYPERLINK("https://klasma.github.io/Logging_1487/klagomålsmail/A 29376-2022 FSC-klagomål mail.docx", "A 29376-2022")</f>
        <v/>
      </c>
      <c r="X18">
        <f>HYPERLINK("https://klasma.github.io/Logging_1487/tillsyn/A 29376-2022 tillsynsbegäran.docx", "A 29376-2022")</f>
        <v/>
      </c>
      <c r="Y18">
        <f>HYPERLINK("https://klasma.github.io/Logging_1487/tillsynsmail/A 29376-2022 tillsynsbegäran mail.docx", "A 29376-2022")</f>
        <v/>
      </c>
    </row>
    <row r="19" ht="15" customHeight="1">
      <c r="A19" t="inlineStr">
        <is>
          <t>A 29369-2022</t>
        </is>
      </c>
      <c r="B19" s="1" t="n">
        <v>44753</v>
      </c>
      <c r="C19" s="1" t="n">
        <v>45847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9.9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HYPERLINK("https://klasma.github.io/Logging_1487/artfynd/A 29369-2022 artfynd.xlsx", "A 29369-2022")</f>
        <v/>
      </c>
      <c r="T19">
        <f>HYPERLINK("https://klasma.github.io/Logging_1487/kartor/A 29369-2022 karta.png", "A 29369-2022")</f>
        <v/>
      </c>
      <c r="V19">
        <f>HYPERLINK("https://klasma.github.io/Logging_1487/klagomål/A 29369-2022 FSC-klagomål.docx", "A 29369-2022")</f>
        <v/>
      </c>
      <c r="W19">
        <f>HYPERLINK("https://klasma.github.io/Logging_1487/klagomålsmail/A 29369-2022 FSC-klagomål mail.docx", "A 29369-2022")</f>
        <v/>
      </c>
      <c r="X19">
        <f>HYPERLINK("https://klasma.github.io/Logging_1487/tillsyn/A 29369-2022 tillsynsbegäran.docx", "A 29369-2022")</f>
        <v/>
      </c>
      <c r="Y19">
        <f>HYPERLINK("https://klasma.github.io/Logging_1487/tillsynsmail/A 29369-2022 tillsynsbegäran mail.docx", "A 29369-2022")</f>
        <v/>
      </c>
    </row>
    <row r="20" ht="15" customHeight="1">
      <c r="A20" t="inlineStr">
        <is>
          <t>A 29375-2022</t>
        </is>
      </c>
      <c r="B20" s="1" t="n">
        <v>44753</v>
      </c>
      <c r="C20" s="1" t="n">
        <v>45847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HYPERLINK("https://klasma.github.io/Logging_1487/artfynd/A 29375-2022 artfynd.xlsx", "A 29375-2022")</f>
        <v/>
      </c>
      <c r="T20">
        <f>HYPERLINK("https://klasma.github.io/Logging_1487/kartor/A 29375-2022 karta.png", "A 29375-2022")</f>
        <v/>
      </c>
      <c r="V20">
        <f>HYPERLINK("https://klasma.github.io/Logging_1487/klagomål/A 29375-2022 FSC-klagomål.docx", "A 29375-2022")</f>
        <v/>
      </c>
      <c r="W20">
        <f>HYPERLINK("https://klasma.github.io/Logging_1487/klagomålsmail/A 29375-2022 FSC-klagomål mail.docx", "A 29375-2022")</f>
        <v/>
      </c>
      <c r="X20">
        <f>HYPERLINK("https://klasma.github.io/Logging_1487/tillsyn/A 29375-2022 tillsynsbegäran.docx", "A 29375-2022")</f>
        <v/>
      </c>
      <c r="Y20">
        <f>HYPERLINK("https://klasma.github.io/Logging_1487/tillsynsmail/A 29375-2022 tillsynsbegäran mail.docx", "A 29375-2022")</f>
        <v/>
      </c>
    </row>
    <row r="21" ht="15" customHeight="1">
      <c r="A21" t="inlineStr">
        <is>
          <t>A 34381-2022</t>
        </is>
      </c>
      <c r="B21" s="1" t="n">
        <v>44792</v>
      </c>
      <c r="C21" s="1" t="n">
        <v>45847</v>
      </c>
      <c r="D21" t="inlineStr">
        <is>
          <t>VÄSTRA GÖTALANDS LÄN</t>
        </is>
      </c>
      <c r="E21" t="inlineStr">
        <is>
          <t>VÄNERSBORG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34381-2022 artfynd.xlsx", "A 34381-2022")</f>
        <v/>
      </c>
      <c r="T21">
        <f>HYPERLINK("https://klasma.github.io/Logging_1487/kartor/A 34381-2022 karta.png", "A 34381-2022")</f>
        <v/>
      </c>
      <c r="V21">
        <f>HYPERLINK("https://klasma.github.io/Logging_1487/klagomål/A 34381-2022 FSC-klagomål.docx", "A 34381-2022")</f>
        <v/>
      </c>
      <c r="W21">
        <f>HYPERLINK("https://klasma.github.io/Logging_1487/klagomålsmail/A 34381-2022 FSC-klagomål mail.docx", "A 34381-2022")</f>
        <v/>
      </c>
      <c r="X21">
        <f>HYPERLINK("https://klasma.github.io/Logging_1487/tillsyn/A 34381-2022 tillsynsbegäran.docx", "A 34381-2022")</f>
        <v/>
      </c>
      <c r="Y21">
        <f>HYPERLINK("https://klasma.github.io/Logging_1487/tillsynsmail/A 34381-2022 tillsynsbegäran mail.docx", "A 34381-2022")</f>
        <v/>
      </c>
    </row>
    <row r="22" ht="15" customHeight="1">
      <c r="A22" t="inlineStr">
        <is>
          <t>A 17341-2023</t>
        </is>
      </c>
      <c r="B22" s="1" t="n">
        <v>45035</v>
      </c>
      <c r="C22" s="1" t="n">
        <v>45847</v>
      </c>
      <c r="D22" t="inlineStr">
        <is>
          <t>VÄSTRA GÖTALANDS LÄN</t>
        </is>
      </c>
      <c r="E22" t="inlineStr">
        <is>
          <t>VÄNERSBORG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HYPERLINK("https://klasma.github.io/Logging_1487/artfynd/A 17341-2023 artfynd.xlsx", "A 17341-2023")</f>
        <v/>
      </c>
      <c r="T22">
        <f>HYPERLINK("https://klasma.github.io/Logging_1487/kartor/A 17341-2023 karta.png", "A 17341-2023")</f>
        <v/>
      </c>
      <c r="V22">
        <f>HYPERLINK("https://klasma.github.io/Logging_1487/klagomål/A 17341-2023 FSC-klagomål.docx", "A 17341-2023")</f>
        <v/>
      </c>
      <c r="W22">
        <f>HYPERLINK("https://klasma.github.io/Logging_1487/klagomålsmail/A 17341-2023 FSC-klagomål mail.docx", "A 17341-2023")</f>
        <v/>
      </c>
      <c r="X22">
        <f>HYPERLINK("https://klasma.github.io/Logging_1487/tillsyn/A 17341-2023 tillsynsbegäran.docx", "A 17341-2023")</f>
        <v/>
      </c>
      <c r="Y22">
        <f>HYPERLINK("https://klasma.github.io/Logging_1487/tillsynsmail/A 17341-2023 tillsynsbegäran mail.docx", "A 17341-2023")</f>
        <v/>
      </c>
      <c r="Z22">
        <f>HYPERLINK("https://klasma.github.io/Logging_1487/fåglar/A 17341-2023 prioriterade fågelarter.docx", "A 17341-2023")</f>
        <v/>
      </c>
    </row>
    <row r="23" ht="15" customHeight="1">
      <c r="A23" t="inlineStr">
        <is>
          <t>A 17920-2023</t>
        </is>
      </c>
      <c r="B23" s="1" t="n">
        <v>45040</v>
      </c>
      <c r="C23" s="1" t="n">
        <v>45847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HYPERLINK("https://klasma.github.io/Logging_1487/artfynd/A 17920-2023 artfynd.xlsx", "A 17920-2023")</f>
        <v/>
      </c>
      <c r="T23">
        <f>HYPERLINK("https://klasma.github.io/Logging_1487/kartor/A 17920-2023 karta.png", "A 17920-2023")</f>
        <v/>
      </c>
      <c r="V23">
        <f>HYPERLINK("https://klasma.github.io/Logging_1487/klagomål/A 17920-2023 FSC-klagomål.docx", "A 17920-2023")</f>
        <v/>
      </c>
      <c r="W23">
        <f>HYPERLINK("https://klasma.github.io/Logging_1487/klagomålsmail/A 17920-2023 FSC-klagomål mail.docx", "A 17920-2023")</f>
        <v/>
      </c>
      <c r="X23">
        <f>HYPERLINK("https://klasma.github.io/Logging_1487/tillsyn/A 17920-2023 tillsynsbegäran.docx", "A 17920-2023")</f>
        <v/>
      </c>
      <c r="Y23">
        <f>HYPERLINK("https://klasma.github.io/Logging_1487/tillsynsmail/A 17920-2023 tillsynsbegäran mail.docx", "A 17920-2023")</f>
        <v/>
      </c>
    </row>
    <row r="24" ht="15" customHeight="1">
      <c r="A24" t="inlineStr">
        <is>
          <t>A 29265-2023</t>
        </is>
      </c>
      <c r="B24" s="1" t="n">
        <v>45105</v>
      </c>
      <c r="C24" s="1" t="n">
        <v>45847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Bohuslind</t>
        </is>
      </c>
      <c r="S24">
        <f>HYPERLINK("https://klasma.github.io/Logging_1487/artfynd/A 29265-2023 artfynd.xlsx", "A 29265-2023")</f>
        <v/>
      </c>
      <c r="T24">
        <f>HYPERLINK("https://klasma.github.io/Logging_1487/kartor/A 29265-2023 karta.png", "A 29265-2023")</f>
        <v/>
      </c>
      <c r="V24">
        <f>HYPERLINK("https://klasma.github.io/Logging_1487/klagomål/A 29265-2023 FSC-klagomål.docx", "A 29265-2023")</f>
        <v/>
      </c>
      <c r="W24">
        <f>HYPERLINK("https://klasma.github.io/Logging_1487/klagomålsmail/A 29265-2023 FSC-klagomål mail.docx", "A 29265-2023")</f>
        <v/>
      </c>
      <c r="X24">
        <f>HYPERLINK("https://klasma.github.io/Logging_1487/tillsyn/A 29265-2023 tillsynsbegäran.docx", "A 29265-2023")</f>
        <v/>
      </c>
      <c r="Y24">
        <f>HYPERLINK("https://klasma.github.io/Logging_1487/tillsynsmail/A 29265-2023 tillsynsbegäran mail.docx", "A 29265-2023")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45847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55619-2023</t>
        </is>
      </c>
      <c r="B26" s="1" t="n">
        <v>45238</v>
      </c>
      <c r="C26" s="1" t="n">
        <v>45847</v>
      </c>
      <c r="D26" t="inlineStr">
        <is>
          <t>VÄSTRA GÖTALANDS LÄN</t>
        </is>
      </c>
      <c r="E26" t="inlineStr">
        <is>
          <t>VÄNERSBORG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55619-2023 artfynd.xlsx", "A 55619-2023")</f>
        <v/>
      </c>
      <c r="T26">
        <f>HYPERLINK("https://klasma.github.io/Logging_1487/kartor/A 55619-2023 karta.png", "A 55619-2023")</f>
        <v/>
      </c>
      <c r="V26">
        <f>HYPERLINK("https://klasma.github.io/Logging_1487/klagomål/A 55619-2023 FSC-klagomål.docx", "A 55619-2023")</f>
        <v/>
      </c>
      <c r="W26">
        <f>HYPERLINK("https://klasma.github.io/Logging_1487/klagomålsmail/A 55619-2023 FSC-klagomål mail.docx", "A 55619-2023")</f>
        <v/>
      </c>
      <c r="X26">
        <f>HYPERLINK("https://klasma.github.io/Logging_1487/tillsyn/A 55619-2023 tillsynsbegäran.docx", "A 55619-2023")</f>
        <v/>
      </c>
      <c r="Y26">
        <f>HYPERLINK("https://klasma.github.io/Logging_1487/tillsynsmail/A 55619-2023 tillsynsbegäran mail.docx", "A 55619-2023")</f>
        <v/>
      </c>
    </row>
    <row r="27" ht="15" customHeight="1">
      <c r="A27" t="inlineStr">
        <is>
          <t>A 58292-2023</t>
        </is>
      </c>
      <c r="B27" s="1" t="n">
        <v>45250</v>
      </c>
      <c r="C27" s="1" t="n">
        <v>45847</v>
      </c>
      <c r="D27" t="inlineStr">
        <is>
          <t>VÄSTRA GÖTALANDS LÄN</t>
        </is>
      </c>
      <c r="E27" t="inlineStr">
        <is>
          <t>VÄNERSBORG</t>
        </is>
      </c>
      <c r="G27" t="n">
        <v>19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HYPERLINK("https://klasma.github.io/Logging_1487/artfynd/A 58292-2023 artfynd.xlsx", "A 58292-2023")</f>
        <v/>
      </c>
      <c r="T27">
        <f>HYPERLINK("https://klasma.github.io/Logging_1487/kartor/A 58292-2023 karta.png", "A 58292-2023")</f>
        <v/>
      </c>
      <c r="V27">
        <f>HYPERLINK("https://klasma.github.io/Logging_1487/klagomål/A 58292-2023 FSC-klagomål.docx", "A 58292-2023")</f>
        <v/>
      </c>
      <c r="W27">
        <f>HYPERLINK("https://klasma.github.io/Logging_1487/klagomålsmail/A 58292-2023 FSC-klagomål mail.docx", "A 58292-2023")</f>
        <v/>
      </c>
      <c r="X27">
        <f>HYPERLINK("https://klasma.github.io/Logging_1487/tillsyn/A 58292-2023 tillsynsbegäran.docx", "A 58292-2023")</f>
        <v/>
      </c>
      <c r="Y27">
        <f>HYPERLINK("https://klasma.github.io/Logging_1487/tillsynsmail/A 58292-2023 tillsynsbegäran mail.docx", "A 58292-2023")</f>
        <v/>
      </c>
    </row>
    <row r="28" ht="15" customHeight="1">
      <c r="A28" t="inlineStr">
        <is>
          <t>A 11709-2024</t>
        </is>
      </c>
      <c r="B28" s="1" t="n">
        <v>45373</v>
      </c>
      <c r="C28" s="1" t="n">
        <v>45847</v>
      </c>
      <c r="D28" t="inlineStr">
        <is>
          <t>VÄSTRA GÖTALANDS LÄN</t>
        </is>
      </c>
      <c r="E28" t="inlineStr">
        <is>
          <t>VÄNERSBORG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HYPERLINK("https://klasma.github.io/Logging_1487/artfynd/A 11709-2024 artfynd.xlsx", "A 11709-2024")</f>
        <v/>
      </c>
      <c r="T28">
        <f>HYPERLINK("https://klasma.github.io/Logging_1487/kartor/A 11709-2024 karta.png", "A 11709-2024")</f>
        <v/>
      </c>
      <c r="V28">
        <f>HYPERLINK("https://klasma.github.io/Logging_1487/klagomål/A 11709-2024 FSC-klagomål.docx", "A 11709-2024")</f>
        <v/>
      </c>
      <c r="W28">
        <f>HYPERLINK("https://klasma.github.io/Logging_1487/klagomålsmail/A 11709-2024 FSC-klagomål mail.docx", "A 11709-2024")</f>
        <v/>
      </c>
      <c r="X28">
        <f>HYPERLINK("https://klasma.github.io/Logging_1487/tillsyn/A 11709-2024 tillsynsbegäran.docx", "A 11709-2024")</f>
        <v/>
      </c>
      <c r="Y28">
        <f>HYPERLINK("https://klasma.github.io/Logging_1487/tillsynsmail/A 11709-2024 tillsynsbegäran mail.docx", "A 11709-2024")</f>
        <v/>
      </c>
    </row>
    <row r="29" ht="15" customHeight="1">
      <c r="A29" t="inlineStr">
        <is>
          <t>A 55130-2024</t>
        </is>
      </c>
      <c r="B29" s="1" t="n">
        <v>45618</v>
      </c>
      <c r="C29" s="1" t="n">
        <v>45847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HYPERLINK("https://klasma.github.io/Logging_1487/artfynd/A 55130-2024 artfynd.xlsx", "A 55130-2024")</f>
        <v/>
      </c>
      <c r="T29">
        <f>HYPERLINK("https://klasma.github.io/Logging_1487/kartor/A 55130-2024 karta.png", "A 55130-2024")</f>
        <v/>
      </c>
      <c r="V29">
        <f>HYPERLINK("https://klasma.github.io/Logging_1487/klagomål/A 55130-2024 FSC-klagomål.docx", "A 55130-2024")</f>
        <v/>
      </c>
      <c r="W29">
        <f>HYPERLINK("https://klasma.github.io/Logging_1487/klagomålsmail/A 55130-2024 FSC-klagomål mail.docx", "A 55130-2024")</f>
        <v/>
      </c>
      <c r="X29">
        <f>HYPERLINK("https://klasma.github.io/Logging_1487/tillsyn/A 55130-2024 tillsynsbegäran.docx", "A 55130-2024")</f>
        <v/>
      </c>
      <c r="Y29">
        <f>HYPERLINK("https://klasma.github.io/Logging_1487/tillsynsmail/A 55130-2024 tillsynsbegäran mail.docx", "A 55130-2024")</f>
        <v/>
      </c>
    </row>
    <row r="30" ht="15" customHeight="1">
      <c r="A30" t="inlineStr">
        <is>
          <t>A 56496-2024</t>
        </is>
      </c>
      <c r="B30" s="1" t="n">
        <v>45625</v>
      </c>
      <c r="C30" s="1" t="n">
        <v>45847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HYPERLINK("https://klasma.github.io/Logging_1487/artfynd/A 56496-2024 artfynd.xlsx", "A 56496-2024")</f>
        <v/>
      </c>
      <c r="T30">
        <f>HYPERLINK("https://klasma.github.io/Logging_1487/kartor/A 56496-2024 karta.png", "A 56496-2024")</f>
        <v/>
      </c>
      <c r="V30">
        <f>HYPERLINK("https://klasma.github.io/Logging_1487/klagomål/A 56496-2024 FSC-klagomål.docx", "A 56496-2024")</f>
        <v/>
      </c>
      <c r="W30">
        <f>HYPERLINK("https://klasma.github.io/Logging_1487/klagomålsmail/A 56496-2024 FSC-klagomål mail.docx", "A 56496-2024")</f>
        <v/>
      </c>
      <c r="X30">
        <f>HYPERLINK("https://klasma.github.io/Logging_1487/tillsyn/A 56496-2024 tillsynsbegäran.docx", "A 56496-2024")</f>
        <v/>
      </c>
      <c r="Y30">
        <f>HYPERLINK("https://klasma.github.io/Logging_1487/tillsynsmail/A 56496-2024 tillsynsbegäran mail.docx", "A 56496-2024")</f>
        <v/>
      </c>
    </row>
    <row r="31" ht="15" customHeight="1">
      <c r="A31" t="inlineStr">
        <is>
          <t>A 27055-2025</t>
        </is>
      </c>
      <c r="B31" s="1" t="n">
        <v>45811</v>
      </c>
      <c r="C31" s="1" t="n">
        <v>45847</v>
      </c>
      <c r="D31" t="inlineStr">
        <is>
          <t>VÄSTRA GÖTALANDS LÄN</t>
        </is>
      </c>
      <c r="E31" t="inlineStr">
        <is>
          <t>VÄNERSBORG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HYPERLINK("https://klasma.github.io/Logging_141487/artfynd/A 27055-2025 artfynd.xlsx", "A 27055-2025")</f>
        <v/>
      </c>
      <c r="T31">
        <f>HYPERLINK("https://klasma.github.io/Logging_141487/kartor/A 27055-2025 karta.png", "A 27055-2025")</f>
        <v/>
      </c>
      <c r="V31">
        <f>HYPERLINK("https://klasma.github.io/Logging_141487/klagomål/A 27055-2025 FSC-klagomål.docx", "A 27055-2025")</f>
        <v/>
      </c>
      <c r="W31">
        <f>HYPERLINK("https://klasma.github.io/Logging_141487/klagomålsmail/A 27055-2025 FSC-klagomål mail.docx", "A 27055-2025")</f>
        <v/>
      </c>
      <c r="X31">
        <f>HYPERLINK("https://klasma.github.io/Logging_141487/tillsyn/A 27055-2025 tillsynsbegäran.docx", "A 27055-2025")</f>
        <v/>
      </c>
      <c r="Y31">
        <f>HYPERLINK("https://klasma.github.io/Logging_141487/tillsynsmail/A 27055-2025 tillsynsbegäran mail.docx", "A 27055-2025")</f>
        <v/>
      </c>
    </row>
    <row r="32" ht="15" customHeight="1">
      <c r="A32" t="inlineStr">
        <is>
          <t>A 24962-2019</t>
        </is>
      </c>
      <c r="B32" s="1" t="n">
        <v>43602</v>
      </c>
      <c r="C32" s="1" t="n">
        <v>45847</v>
      </c>
      <c r="D32" t="inlineStr">
        <is>
          <t>VÄSTRA GÖTALANDS LÄN</t>
        </is>
      </c>
      <c r="E32" t="inlineStr">
        <is>
          <t>VÄNERSBORG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24956-2019</t>
        </is>
      </c>
      <c r="B33" s="1" t="n">
        <v>43602</v>
      </c>
      <c r="C33" s="1" t="n">
        <v>45847</v>
      </c>
      <c r="D33" t="inlineStr">
        <is>
          <t>VÄSTRA GÖTALANDS LÄN</t>
        </is>
      </c>
      <c r="E33" t="inlineStr">
        <is>
          <t>VÄNERSBORG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25444-2019</t>
        </is>
      </c>
      <c r="B34" s="1" t="n">
        <v>43606</v>
      </c>
      <c r="C34" s="1" t="n">
        <v>45847</v>
      </c>
      <c r="D34" t="inlineStr">
        <is>
          <t>VÄSTRA GÖTALANDS LÄN</t>
        </is>
      </c>
      <c r="E34" t="inlineStr">
        <is>
          <t>VÄNERSBORG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27871-2019</t>
        </is>
      </c>
      <c r="B35" s="1" t="n">
        <v>43620</v>
      </c>
      <c r="C35" s="1" t="n">
        <v>45847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27874-2019</t>
        </is>
      </c>
      <c r="B36" s="1" t="n">
        <v>43620</v>
      </c>
      <c r="C36" s="1" t="n">
        <v>45847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34599-2019</t>
        </is>
      </c>
      <c r="B37" s="1" t="n">
        <v>43647</v>
      </c>
      <c r="C37" s="1" t="n">
        <v>45847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34592-2019</t>
        </is>
      </c>
      <c r="B38" s="1" t="n">
        <v>43647</v>
      </c>
      <c r="C38" s="1" t="n">
        <v>45847</v>
      </c>
      <c r="D38" t="inlineStr">
        <is>
          <t>VÄSTRA GÖTALANDS LÄN</t>
        </is>
      </c>
      <c r="E38" t="inlineStr">
        <is>
          <t>VÄNERSBORG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35241-2019</t>
        </is>
      </c>
      <c r="B39" s="1" t="n">
        <v>43662</v>
      </c>
      <c r="C39" s="1" t="n">
        <v>45847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35239-2019</t>
        </is>
      </c>
      <c r="B40" s="1" t="n">
        <v>43662</v>
      </c>
      <c r="C40" s="1" t="n">
        <v>45847</v>
      </c>
      <c r="D40" t="inlineStr">
        <is>
          <t>VÄSTRA GÖTALANDS LÄN</t>
        </is>
      </c>
      <c r="E40" t="inlineStr">
        <is>
          <t>VÄNERSBORG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35240-2019</t>
        </is>
      </c>
      <c r="B41" s="1" t="n">
        <v>43662</v>
      </c>
      <c r="C41" s="1" t="n">
        <v>45847</v>
      </c>
      <c r="D41" t="inlineStr">
        <is>
          <t>VÄSTRA GÖTALANDS LÄN</t>
        </is>
      </c>
      <c r="E41" t="inlineStr">
        <is>
          <t>VÄNERSBORG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35372-2019</t>
        </is>
      </c>
      <c r="B42" s="1" t="n">
        <v>43663</v>
      </c>
      <c r="C42" s="1" t="n">
        <v>45847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38947-2019</t>
        </is>
      </c>
      <c r="B43" s="1" t="n">
        <v>43689</v>
      </c>
      <c r="C43" s="1" t="n">
        <v>45847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39254-2019</t>
        </is>
      </c>
      <c r="B44" s="1" t="n">
        <v>43690</v>
      </c>
      <c r="C44" s="1" t="n">
        <v>45847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42509-2019</t>
        </is>
      </c>
      <c r="B45" s="1" t="n">
        <v>43699</v>
      </c>
      <c r="C45" s="1" t="n">
        <v>45847</v>
      </c>
      <c r="D45" t="inlineStr">
        <is>
          <t>VÄSTRA GÖTALANDS LÄN</t>
        </is>
      </c>
      <c r="E45" t="inlineStr">
        <is>
          <t>VÄNERSBORG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42515-2019</t>
        </is>
      </c>
      <c r="B46" s="1" t="n">
        <v>43699</v>
      </c>
      <c r="C46" s="1" t="n">
        <v>45847</v>
      </c>
      <c r="D46" t="inlineStr">
        <is>
          <t>VÄSTRA GÖTALANDS LÄN</t>
        </is>
      </c>
      <c r="E46" t="inlineStr">
        <is>
          <t>VÄNERSBORG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41948-2019</t>
        </is>
      </c>
      <c r="B47" s="1" t="n">
        <v>43700</v>
      </c>
      <c r="C47" s="1" t="n">
        <v>45847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49938-2019</t>
        </is>
      </c>
      <c r="B48" s="1" t="n">
        <v>43733</v>
      </c>
      <c r="C48" s="1" t="n">
        <v>45847</v>
      </c>
      <c r="D48" t="inlineStr">
        <is>
          <t>VÄSTRA GÖTALANDS LÄN</t>
        </is>
      </c>
      <c r="E48" t="inlineStr">
        <is>
          <t>VÄNERSBORG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49936-2019</t>
        </is>
      </c>
      <c r="B49" s="1" t="n">
        <v>43733</v>
      </c>
      <c r="C49" s="1" t="n">
        <v>45847</v>
      </c>
      <c r="D49" t="inlineStr">
        <is>
          <t>VÄSTRA GÖTALANDS LÄN</t>
        </is>
      </c>
      <c r="E49" t="inlineStr">
        <is>
          <t>VÄNERSBORG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52916-2019</t>
        </is>
      </c>
      <c r="B50" s="1" t="n">
        <v>43746</v>
      </c>
      <c r="C50" s="1" t="n">
        <v>45847</v>
      </c>
      <c r="D50" t="inlineStr">
        <is>
          <t>VÄSTRA GÖTALANDS LÄN</t>
        </is>
      </c>
      <c r="E50" t="inlineStr">
        <is>
          <t>VÄNERSBORG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52911-2019</t>
        </is>
      </c>
      <c r="B51" s="1" t="n">
        <v>43746</v>
      </c>
      <c r="C51" s="1" t="n">
        <v>45847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52912-2019</t>
        </is>
      </c>
      <c r="B52" s="1" t="n">
        <v>43746</v>
      </c>
      <c r="C52" s="1" t="n">
        <v>45847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53808-2019</t>
        </is>
      </c>
      <c r="B53" s="1" t="n">
        <v>43751</v>
      </c>
      <c r="C53" s="1" t="n">
        <v>45847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55760-2019</t>
        </is>
      </c>
      <c r="B54" s="1" t="n">
        <v>43759</v>
      </c>
      <c r="C54" s="1" t="n">
        <v>45847</v>
      </c>
      <c r="D54" t="inlineStr">
        <is>
          <t>VÄSTRA GÖTALANDS LÄN</t>
        </is>
      </c>
      <c r="E54" t="inlineStr">
        <is>
          <t>VÄNERSBORG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57008-2019</t>
        </is>
      </c>
      <c r="B55" s="1" t="n">
        <v>43766</v>
      </c>
      <c r="C55" s="1" t="n">
        <v>45847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61982-2019</t>
        </is>
      </c>
      <c r="B56" s="1" t="n">
        <v>43787</v>
      </c>
      <c r="C56" s="1" t="n">
        <v>45847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65712-2019</t>
        </is>
      </c>
      <c r="B57" s="1" t="n">
        <v>43804</v>
      </c>
      <c r="C57" s="1" t="n">
        <v>45847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67177-2019</t>
        </is>
      </c>
      <c r="B58" s="1" t="n">
        <v>43811</v>
      </c>
      <c r="C58" s="1" t="n">
        <v>45847</v>
      </c>
      <c r="D58" t="inlineStr">
        <is>
          <t>VÄSTRA GÖTALANDS LÄN</t>
        </is>
      </c>
      <c r="E58" t="inlineStr">
        <is>
          <t>VÄNERSBORG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67890-2019</t>
        </is>
      </c>
      <c r="B59" s="1" t="n">
        <v>43816</v>
      </c>
      <c r="C59" s="1" t="n">
        <v>45847</v>
      </c>
      <c r="D59" t="inlineStr">
        <is>
          <t>VÄSTRA GÖTALANDS LÄN</t>
        </is>
      </c>
      <c r="E59" t="inlineStr">
        <is>
          <t>VÄNERSBORG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69134-2019</t>
        </is>
      </c>
      <c r="B60" s="1" t="n">
        <v>43829</v>
      </c>
      <c r="C60" s="1" t="n">
        <v>45847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3267-2020</t>
        </is>
      </c>
      <c r="B61" s="1" t="n">
        <v>43844</v>
      </c>
      <c r="C61" s="1" t="n">
        <v>45847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2148-2020</t>
        </is>
      </c>
      <c r="B62" s="1" t="n">
        <v>43846</v>
      </c>
      <c r="C62" s="1" t="n">
        <v>45847</v>
      </c>
      <c r="D62" t="inlineStr">
        <is>
          <t>VÄSTRA GÖTALANDS LÄN</t>
        </is>
      </c>
      <c r="E62" t="inlineStr">
        <is>
          <t>VÄNERSBORG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2981-2020</t>
        </is>
      </c>
      <c r="B63" s="1" t="n">
        <v>43850</v>
      </c>
      <c r="C63" s="1" t="n">
        <v>45847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5617-2020</t>
        </is>
      </c>
      <c r="B64" s="1" t="n">
        <v>43860</v>
      </c>
      <c r="C64" s="1" t="n">
        <v>45847</v>
      </c>
      <c r="D64" t="inlineStr">
        <is>
          <t>VÄSTRA GÖTALANDS LÄN</t>
        </is>
      </c>
      <c r="E64" t="inlineStr">
        <is>
          <t>VÄNERSBORG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6686-2020</t>
        </is>
      </c>
      <c r="B65" s="1" t="n">
        <v>43865</v>
      </c>
      <c r="C65" s="1" t="n">
        <v>45847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6893-2020</t>
        </is>
      </c>
      <c r="B66" s="1" t="n">
        <v>43867</v>
      </c>
      <c r="C66" s="1" t="n">
        <v>45847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8006-2020</t>
        </is>
      </c>
      <c r="B67" s="1" t="n">
        <v>43873</v>
      </c>
      <c r="C67" s="1" t="n">
        <v>45847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8003-2020</t>
        </is>
      </c>
      <c r="B68" s="1" t="n">
        <v>43873</v>
      </c>
      <c r="C68" s="1" t="n">
        <v>45847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9142-2020</t>
        </is>
      </c>
      <c r="B69" s="1" t="n">
        <v>43879</v>
      </c>
      <c r="C69" s="1" t="n">
        <v>45847</v>
      </c>
      <c r="D69" t="inlineStr">
        <is>
          <t>VÄSTRA GÖTALANDS LÄN</t>
        </is>
      </c>
      <c r="E69" t="inlineStr">
        <is>
          <t>VÄNERSBORG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9155-2020</t>
        </is>
      </c>
      <c r="B70" s="1" t="n">
        <v>43879</v>
      </c>
      <c r="C70" s="1" t="n">
        <v>45847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20349-2020</t>
        </is>
      </c>
      <c r="B71" s="1" t="n">
        <v>43945</v>
      </c>
      <c r="C71" s="1" t="n">
        <v>45847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20743-2020</t>
        </is>
      </c>
      <c r="B72" s="1" t="n">
        <v>43949</v>
      </c>
      <c r="C72" s="1" t="n">
        <v>45847</v>
      </c>
      <c r="D72" t="inlineStr">
        <is>
          <t>VÄSTRA GÖTALANDS LÄN</t>
        </is>
      </c>
      <c r="E72" t="inlineStr">
        <is>
          <t>VÄNERSBORG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25602-2020</t>
        </is>
      </c>
      <c r="B73" s="1" t="n">
        <v>43983</v>
      </c>
      <c r="C73" s="1" t="n">
        <v>45847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28066-2020</t>
        </is>
      </c>
      <c r="B74" s="1" t="n">
        <v>43997</v>
      </c>
      <c r="C74" s="1" t="n">
        <v>45847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29436-2020</t>
        </is>
      </c>
      <c r="B75" s="1" t="n">
        <v>44004</v>
      </c>
      <c r="C75" s="1" t="n">
        <v>45847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30614-2020</t>
        </is>
      </c>
      <c r="B76" s="1" t="n">
        <v>44008</v>
      </c>
      <c r="C76" s="1" t="n">
        <v>45847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31128-2020</t>
        </is>
      </c>
      <c r="B77" s="1" t="n">
        <v>44012</v>
      </c>
      <c r="C77" s="1" t="n">
        <v>45847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31879-2020</t>
        </is>
      </c>
      <c r="B78" s="1" t="n">
        <v>44014</v>
      </c>
      <c r="C78" s="1" t="n">
        <v>45847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33084-2020</t>
        </is>
      </c>
      <c r="B79" s="1" t="n">
        <v>44021</v>
      </c>
      <c r="C79" s="1" t="n">
        <v>45847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33674-2020</t>
        </is>
      </c>
      <c r="B80" s="1" t="n">
        <v>44026</v>
      </c>
      <c r="C80" s="1" t="n">
        <v>45847</v>
      </c>
      <c r="D80" t="inlineStr">
        <is>
          <t>VÄSTRA GÖTALANDS LÄN</t>
        </is>
      </c>
      <c r="E80" t="inlineStr">
        <is>
          <t>VÄNERSBORG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38320-2020</t>
        </is>
      </c>
      <c r="B81" s="1" t="n">
        <v>44060</v>
      </c>
      <c r="C81" s="1" t="n">
        <v>45847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40580-2020</t>
        </is>
      </c>
      <c r="B82" s="1" t="n">
        <v>44069</v>
      </c>
      <c r="C82" s="1" t="n">
        <v>45847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</v>
      </c>
      <c r="C83" s="1" t="n">
        <v>45847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44625-2020</t>
        </is>
      </c>
      <c r="B84" s="1" t="n">
        <v>44085</v>
      </c>
      <c r="C84" s="1" t="n">
        <v>45847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53193-2020</t>
        </is>
      </c>
      <c r="B85" s="1" t="n">
        <v>44122</v>
      </c>
      <c r="C85" s="1" t="n">
        <v>45847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53194-2020</t>
        </is>
      </c>
      <c r="B86" s="1" t="n">
        <v>44122</v>
      </c>
      <c r="C86" s="1" t="n">
        <v>45847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54904-2020</t>
        </is>
      </c>
      <c r="B87" s="1" t="n">
        <v>44128</v>
      </c>
      <c r="C87" s="1" t="n">
        <v>45847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58052-2020</t>
        </is>
      </c>
      <c r="B88" s="1" t="n">
        <v>44144</v>
      </c>
      <c r="C88" s="1" t="n">
        <v>45847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58519-2020</t>
        </is>
      </c>
      <c r="B89" s="1" t="n">
        <v>44144</v>
      </c>
      <c r="C89" s="1" t="n">
        <v>45847</v>
      </c>
      <c r="D89" t="inlineStr">
        <is>
          <t>VÄSTRA GÖTALANDS LÄN</t>
        </is>
      </c>
      <c r="E89" t="inlineStr">
        <is>
          <t>VÄNERSBORG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63245-2020</t>
        </is>
      </c>
      <c r="B90" s="1" t="n">
        <v>44164</v>
      </c>
      <c r="C90" s="1" t="n">
        <v>45847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64094-2020</t>
        </is>
      </c>
      <c r="B91" s="1" t="n">
        <v>44165</v>
      </c>
      <c r="C91" s="1" t="n">
        <v>45847</v>
      </c>
      <c r="D91" t="inlineStr">
        <is>
          <t>VÄSTRA GÖTALANDS LÄN</t>
        </is>
      </c>
      <c r="E91" t="inlineStr">
        <is>
          <t>VÄNERSBORG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65424-2020</t>
        </is>
      </c>
      <c r="B92" s="1" t="n">
        <v>44173</v>
      </c>
      <c r="C92" s="1" t="n">
        <v>45847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68411-2020</t>
        </is>
      </c>
      <c r="B93" s="1" t="n">
        <v>44182</v>
      </c>
      <c r="C93" s="1" t="n">
        <v>45847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69579-2020</t>
        </is>
      </c>
      <c r="B94" s="1" t="n">
        <v>44195</v>
      </c>
      <c r="C94" s="1" t="n">
        <v>45847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2463-2021</t>
        </is>
      </c>
      <c r="B95" s="1" t="n">
        <v>44214</v>
      </c>
      <c r="C95" s="1" t="n">
        <v>45847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2636-2021</t>
        </is>
      </c>
      <c r="B96" s="1" t="n">
        <v>44215</v>
      </c>
      <c r="C96" s="1" t="n">
        <v>45847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2637-2021</t>
        </is>
      </c>
      <c r="B97" s="1" t="n">
        <v>44215</v>
      </c>
      <c r="C97" s="1" t="n">
        <v>45847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4816-2021</t>
        </is>
      </c>
      <c r="B98" s="1" t="n">
        <v>44225</v>
      </c>
      <c r="C98" s="1" t="n">
        <v>45847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5285-2021</t>
        </is>
      </c>
      <c r="B99" s="1" t="n">
        <v>44229</v>
      </c>
      <c r="C99" s="1" t="n">
        <v>45847</v>
      </c>
      <c r="D99" t="inlineStr">
        <is>
          <t>VÄSTRA GÖTALANDS LÄN</t>
        </is>
      </c>
      <c r="E99" t="inlineStr">
        <is>
          <t>VÄNERSBORG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5820-2021</t>
        </is>
      </c>
      <c r="B100" s="1" t="n">
        <v>44229</v>
      </c>
      <c r="C100" s="1" t="n">
        <v>45847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45847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5720-2021</t>
        </is>
      </c>
      <c r="B102" s="1" t="n">
        <v>44229</v>
      </c>
      <c r="C102" s="1" t="n">
        <v>45847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6056-2021</t>
        </is>
      </c>
      <c r="B103" s="1" t="n">
        <v>44231</v>
      </c>
      <c r="C103" s="1" t="n">
        <v>45847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45847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6477-2021</t>
        </is>
      </c>
      <c r="B105" s="1" t="n">
        <v>44235</v>
      </c>
      <c r="C105" s="1" t="n">
        <v>45847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45847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6990-2021</t>
        </is>
      </c>
      <c r="B107" s="1" t="n">
        <v>44237</v>
      </c>
      <c r="C107" s="1" t="n">
        <v>45847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10333-2021</t>
        </is>
      </c>
      <c r="B108" s="1" t="n">
        <v>44257</v>
      </c>
      <c r="C108" s="1" t="n">
        <v>45847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14708-2021</t>
        </is>
      </c>
      <c r="B109" s="1" t="n">
        <v>44280</v>
      </c>
      <c r="C109" s="1" t="n">
        <v>45847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20138-2021</t>
        </is>
      </c>
      <c r="B110" s="1" t="n">
        <v>44314</v>
      </c>
      <c r="C110" s="1" t="n">
        <v>45847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22557-2021</t>
        </is>
      </c>
      <c r="B111" s="1" t="n">
        <v>44322</v>
      </c>
      <c r="C111" s="1" t="n">
        <v>45847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23441-2021</t>
        </is>
      </c>
      <c r="B112" s="1" t="n">
        <v>44333</v>
      </c>
      <c r="C112" s="1" t="n">
        <v>45847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26740-2021</t>
        </is>
      </c>
      <c r="B113" s="1" t="n">
        <v>44349</v>
      </c>
      <c r="C113" s="1" t="n">
        <v>45847</v>
      </c>
      <c r="D113" t="inlineStr">
        <is>
          <t>VÄSTRA GÖTALANDS LÄN</t>
        </is>
      </c>
      <c r="E113" t="inlineStr">
        <is>
          <t>VÄNERSBORG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28550-2021</t>
        </is>
      </c>
      <c r="B114" s="1" t="n">
        <v>44356</v>
      </c>
      <c r="C114" s="1" t="n">
        <v>45847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29371-2021</t>
        </is>
      </c>
      <c r="B115" s="1" t="n">
        <v>44361</v>
      </c>
      <c r="C115" s="1" t="n">
        <v>45847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29383-2021</t>
        </is>
      </c>
      <c r="B116" s="1" t="n">
        <v>44361</v>
      </c>
      <c r="C116" s="1" t="n">
        <v>45847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29755-2021</t>
        </is>
      </c>
      <c r="B117" s="1" t="n">
        <v>44362</v>
      </c>
      <c r="C117" s="1" t="n">
        <v>45847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30185-2021</t>
        </is>
      </c>
      <c r="B118" s="1" t="n">
        <v>44363</v>
      </c>
      <c r="C118" s="1" t="n">
        <v>45847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30201-2021</t>
        </is>
      </c>
      <c r="B119" s="1" t="n">
        <v>44363</v>
      </c>
      <c r="C119" s="1" t="n">
        <v>45847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30878-2021</t>
        </is>
      </c>
      <c r="B120" s="1" t="n">
        <v>44365</v>
      </c>
      <c r="C120" s="1" t="n">
        <v>45847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34380-2021</t>
        </is>
      </c>
      <c r="B121" s="1" t="n">
        <v>44379</v>
      </c>
      <c r="C121" s="1" t="n">
        <v>45847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34595-2021</t>
        </is>
      </c>
      <c r="B122" s="1" t="n">
        <v>44382</v>
      </c>
      <c r="C122" s="1" t="n">
        <v>45847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34593-2021</t>
        </is>
      </c>
      <c r="B123" s="1" t="n">
        <v>44382</v>
      </c>
      <c r="C123" s="1" t="n">
        <v>45847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34598-2021</t>
        </is>
      </c>
      <c r="B124" s="1" t="n">
        <v>44382</v>
      </c>
      <c r="C124" s="1" t="n">
        <v>45847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34611-2021</t>
        </is>
      </c>
      <c r="B125" s="1" t="n">
        <v>44382</v>
      </c>
      <c r="C125" s="1" t="n">
        <v>45847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34592-2021</t>
        </is>
      </c>
      <c r="B126" s="1" t="n">
        <v>44382</v>
      </c>
      <c r="C126" s="1" t="n">
        <v>45847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45847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40223-2021</t>
        </is>
      </c>
      <c r="B128" s="1" t="n">
        <v>44419</v>
      </c>
      <c r="C128" s="1" t="n">
        <v>45847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40224-2021</t>
        </is>
      </c>
      <c r="B129" s="1" t="n">
        <v>44419</v>
      </c>
      <c r="C129" s="1" t="n">
        <v>45847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43621-2021</t>
        </is>
      </c>
      <c r="B130" s="1" t="n">
        <v>44433</v>
      </c>
      <c r="C130" s="1" t="n">
        <v>45847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45808-2021</t>
        </is>
      </c>
      <c r="B131" s="1" t="n">
        <v>44441</v>
      </c>
      <c r="C131" s="1" t="n">
        <v>45847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46424-2021</t>
        </is>
      </c>
      <c r="B132" s="1" t="n">
        <v>44442</v>
      </c>
      <c r="C132" s="1" t="n">
        <v>45847</v>
      </c>
      <c r="D132" t="inlineStr">
        <is>
          <t>VÄSTRA GÖTALANDS LÄN</t>
        </is>
      </c>
      <c r="E132" t="inlineStr">
        <is>
          <t>VÄNERSBORG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46870-2021</t>
        </is>
      </c>
      <c r="B133" s="1" t="n">
        <v>44446</v>
      </c>
      <c r="C133" s="1" t="n">
        <v>45847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52089-2021</t>
        </is>
      </c>
      <c r="B134" s="1" t="n">
        <v>44463</v>
      </c>
      <c r="C134" s="1" t="n">
        <v>45847</v>
      </c>
      <c r="D134" t="inlineStr">
        <is>
          <t>VÄSTRA GÖTALANDS LÄN</t>
        </is>
      </c>
      <c r="E134" t="inlineStr">
        <is>
          <t>VÄNERSBORG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53007-2021</t>
        </is>
      </c>
      <c r="B135" s="1" t="n">
        <v>44467</v>
      </c>
      <c r="C135" s="1" t="n">
        <v>45847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55007-2021</t>
        </is>
      </c>
      <c r="B136" s="1" t="n">
        <v>44474</v>
      </c>
      <c r="C136" s="1" t="n">
        <v>45847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58309-2021</t>
        </is>
      </c>
      <c r="B137" s="1" t="n">
        <v>44488</v>
      </c>
      <c r="C137" s="1" t="n">
        <v>45847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58301-2021</t>
        </is>
      </c>
      <c r="B138" s="1" t="n">
        <v>44488</v>
      </c>
      <c r="C138" s="1" t="n">
        <v>45847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58307-2021</t>
        </is>
      </c>
      <c r="B139" s="1" t="n">
        <v>44488</v>
      </c>
      <c r="C139" s="1" t="n">
        <v>45847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58433-2021</t>
        </is>
      </c>
      <c r="B140" s="1" t="n">
        <v>44488</v>
      </c>
      <c r="C140" s="1" t="n">
        <v>45847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58704-2021</t>
        </is>
      </c>
      <c r="B141" s="1" t="n">
        <v>44489</v>
      </c>
      <c r="C141" s="1" t="n">
        <v>45847</v>
      </c>
      <c r="D141" t="inlineStr">
        <is>
          <t>VÄSTRA GÖTALANDS LÄN</t>
        </is>
      </c>
      <c r="E141" t="inlineStr">
        <is>
          <t>VÄNERSBORG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61042-2021</t>
        </is>
      </c>
      <c r="B142" s="1" t="n">
        <v>44497</v>
      </c>
      <c r="C142" s="1" t="n">
        <v>45847</v>
      </c>
      <c r="D142" t="inlineStr">
        <is>
          <t>VÄSTRA GÖTALANDS LÄN</t>
        </is>
      </c>
      <c r="E142" t="inlineStr">
        <is>
          <t>VÄNERSBORG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60987-2021</t>
        </is>
      </c>
      <c r="B143" s="1" t="n">
        <v>44497</v>
      </c>
      <c r="C143" s="1" t="n">
        <v>45847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45847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</v>
      </c>
      <c r="C145" s="1" t="n">
        <v>45847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61824-2021</t>
        </is>
      </c>
      <c r="B146" s="1" t="n">
        <v>44501</v>
      </c>
      <c r="C146" s="1" t="n">
        <v>45847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63395-2021</t>
        </is>
      </c>
      <c r="B147" s="1" t="n">
        <v>44508</v>
      </c>
      <c r="C147" s="1" t="n">
        <v>45847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67254-2021</t>
        </is>
      </c>
      <c r="B148" s="1" t="n">
        <v>44523</v>
      </c>
      <c r="C148" s="1" t="n">
        <v>45847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69667-2021</t>
        </is>
      </c>
      <c r="B149" s="1" t="n">
        <v>44531</v>
      </c>
      <c r="C149" s="1" t="n">
        <v>45847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72295-2021</t>
        </is>
      </c>
      <c r="B150" s="1" t="n">
        <v>44545</v>
      </c>
      <c r="C150" s="1" t="n">
        <v>45847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45847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73477-2021</t>
        </is>
      </c>
      <c r="B152" s="1" t="n">
        <v>44551</v>
      </c>
      <c r="C152" s="1" t="n">
        <v>45847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10-2022</t>
        </is>
      </c>
      <c r="B153" s="1" t="n">
        <v>44563</v>
      </c>
      <c r="C153" s="1" t="n">
        <v>45847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416-2022</t>
        </is>
      </c>
      <c r="B154" s="1" t="n">
        <v>44565</v>
      </c>
      <c r="C154" s="1" t="n">
        <v>45847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2377-2022</t>
        </is>
      </c>
      <c r="B155" s="1" t="n">
        <v>44579</v>
      </c>
      <c r="C155" s="1" t="n">
        <v>45847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3263-2022</t>
        </is>
      </c>
      <c r="B156" s="1" t="n">
        <v>44583</v>
      </c>
      <c r="C156" s="1" t="n">
        <v>45847</v>
      </c>
      <c r="D156" t="inlineStr">
        <is>
          <t>VÄSTRA GÖTALANDS LÄN</t>
        </is>
      </c>
      <c r="E156" t="inlineStr">
        <is>
          <t>VÄNERSBORG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3465-2022</t>
        </is>
      </c>
      <c r="B157" s="1" t="n">
        <v>44585</v>
      </c>
      <c r="C157" s="1" t="n">
        <v>45847</v>
      </c>
      <c r="D157" t="inlineStr">
        <is>
          <t>VÄSTRA GÖTALANDS LÄN</t>
        </is>
      </c>
      <c r="E157" t="inlineStr">
        <is>
          <t>VÄNERSBORG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</v>
      </c>
      <c r="C158" s="1" t="n">
        <v>45847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3880-2022</t>
        </is>
      </c>
      <c r="B159" s="1" t="n">
        <v>44587</v>
      </c>
      <c r="C159" s="1" t="n">
        <v>45847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7427-2022</t>
        </is>
      </c>
      <c r="B160" s="1" t="n">
        <v>44606</v>
      </c>
      <c r="C160" s="1" t="n">
        <v>45847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45847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7611-2022</t>
        </is>
      </c>
      <c r="B162" s="1" t="n">
        <v>44606</v>
      </c>
      <c r="C162" s="1" t="n">
        <v>45847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9375-2022</t>
        </is>
      </c>
      <c r="B163" s="1" t="n">
        <v>44616</v>
      </c>
      <c r="C163" s="1" t="n">
        <v>45847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9578-2022</t>
        </is>
      </c>
      <c r="B164" s="1" t="n">
        <v>44617</v>
      </c>
      <c r="C164" s="1" t="n">
        <v>45847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45847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10976-2022</t>
        </is>
      </c>
      <c r="B166" s="1" t="n">
        <v>44628</v>
      </c>
      <c r="C166" s="1" t="n">
        <v>45847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10977-2022</t>
        </is>
      </c>
      <c r="B167" s="1" t="n">
        <v>44628</v>
      </c>
      <c r="C167" s="1" t="n">
        <v>45847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11439-2022</t>
        </is>
      </c>
      <c r="B168" s="1" t="n">
        <v>44630</v>
      </c>
      <c r="C168" s="1" t="n">
        <v>45847</v>
      </c>
      <c r="D168" t="inlineStr">
        <is>
          <t>VÄSTRA GÖTALANDS LÄN</t>
        </is>
      </c>
      <c r="E168" t="inlineStr">
        <is>
          <t>VÄNERSBORG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11979-2022</t>
        </is>
      </c>
      <c r="B169" s="1" t="n">
        <v>44635</v>
      </c>
      <c r="C169" s="1" t="n">
        <v>45847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12828-2022</t>
        </is>
      </c>
      <c r="B170" s="1" t="n">
        <v>44642</v>
      </c>
      <c r="C170" s="1" t="n">
        <v>45847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12836-2022</t>
        </is>
      </c>
      <c r="B171" s="1" t="n">
        <v>44642</v>
      </c>
      <c r="C171" s="1" t="n">
        <v>45847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12823-2022</t>
        </is>
      </c>
      <c r="B172" s="1" t="n">
        <v>44642</v>
      </c>
      <c r="C172" s="1" t="n">
        <v>45847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13334-2022</t>
        </is>
      </c>
      <c r="B173" s="1" t="n">
        <v>44645</v>
      </c>
      <c r="C173" s="1" t="n">
        <v>45847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13923-2022</t>
        </is>
      </c>
      <c r="B174" s="1" t="n">
        <v>44650</v>
      </c>
      <c r="C174" s="1" t="n">
        <v>45847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Naturvårdsverket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15309-2022</t>
        </is>
      </c>
      <c r="B175" s="1" t="n">
        <v>44659</v>
      </c>
      <c r="C175" s="1" t="n">
        <v>45847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17853-2022</t>
        </is>
      </c>
      <c r="B176" s="1" t="n">
        <v>44683</v>
      </c>
      <c r="C176" s="1" t="n">
        <v>45847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17987-2022</t>
        </is>
      </c>
      <c r="B177" s="1" t="n">
        <v>44683</v>
      </c>
      <c r="C177" s="1" t="n">
        <v>45847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17988-2022</t>
        </is>
      </c>
      <c r="B178" s="1" t="n">
        <v>44683</v>
      </c>
      <c r="C178" s="1" t="n">
        <v>45847</v>
      </c>
      <c r="D178" t="inlineStr">
        <is>
          <t>VÄSTRA GÖTALANDS LÄN</t>
        </is>
      </c>
      <c r="E178" t="inlineStr">
        <is>
          <t>VÄNERSBORG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17985-2022</t>
        </is>
      </c>
      <c r="B179" s="1" t="n">
        <v>44683</v>
      </c>
      <c r="C179" s="1" t="n">
        <v>45847</v>
      </c>
      <c r="D179" t="inlineStr">
        <is>
          <t>VÄSTRA GÖTALANDS LÄN</t>
        </is>
      </c>
      <c r="E179" t="inlineStr">
        <is>
          <t>VÄNERSBORG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18157-2022</t>
        </is>
      </c>
      <c r="B180" s="1" t="n">
        <v>44684</v>
      </c>
      <c r="C180" s="1" t="n">
        <v>45847</v>
      </c>
      <c r="D180" t="inlineStr">
        <is>
          <t>VÄSTRA GÖTALANDS LÄN</t>
        </is>
      </c>
      <c r="E180" t="inlineStr">
        <is>
          <t>VÄNERSBORG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19561-2022</t>
        </is>
      </c>
      <c r="B181" s="1" t="n">
        <v>44693</v>
      </c>
      <c r="C181" s="1" t="n">
        <v>45847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19560-2022</t>
        </is>
      </c>
      <c r="B182" s="1" t="n">
        <v>44693</v>
      </c>
      <c r="C182" s="1" t="n">
        <v>45847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19559-2022</t>
        </is>
      </c>
      <c r="B183" s="1" t="n">
        <v>44693</v>
      </c>
      <c r="C183" s="1" t="n">
        <v>45847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19558-2022</t>
        </is>
      </c>
      <c r="B184" s="1" t="n">
        <v>44693</v>
      </c>
      <c r="C184" s="1" t="n">
        <v>45847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</v>
      </c>
      <c r="C185" s="1" t="n">
        <v>45847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</v>
      </c>
      <c r="C186" s="1" t="n">
        <v>45847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</v>
      </c>
      <c r="C187" s="1" t="n">
        <v>45847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</v>
      </c>
      <c r="C188" s="1" t="n">
        <v>45847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29346-2022</t>
        </is>
      </c>
      <c r="B189" s="1" t="n">
        <v>44753</v>
      </c>
      <c r="C189" s="1" t="n">
        <v>45847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29373-2022</t>
        </is>
      </c>
      <c r="B190" s="1" t="n">
        <v>44753</v>
      </c>
      <c r="C190" s="1" t="n">
        <v>45847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29345-2022</t>
        </is>
      </c>
      <c r="B191" s="1" t="n">
        <v>44753</v>
      </c>
      <c r="C191" s="1" t="n">
        <v>45847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29352-2022</t>
        </is>
      </c>
      <c r="B192" s="1" t="n">
        <v>44753</v>
      </c>
      <c r="C192" s="1" t="n">
        <v>45847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29371-2022</t>
        </is>
      </c>
      <c r="B193" s="1" t="n">
        <v>44753</v>
      </c>
      <c r="C193" s="1" t="n">
        <v>45847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29368-2022</t>
        </is>
      </c>
      <c r="B194" s="1" t="n">
        <v>44753</v>
      </c>
      <c r="C194" s="1" t="n">
        <v>45847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29576-2022</t>
        </is>
      </c>
      <c r="B195" s="1" t="n">
        <v>44754</v>
      </c>
      <c r="C195" s="1" t="n">
        <v>45847</v>
      </c>
      <c r="D195" t="inlineStr">
        <is>
          <t>VÄSTRA GÖTALANDS LÄN</t>
        </is>
      </c>
      <c r="E195" t="inlineStr">
        <is>
          <t>VÄNERSBORG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29577-2022</t>
        </is>
      </c>
      <c r="B196" s="1" t="n">
        <v>44754</v>
      </c>
      <c r="C196" s="1" t="n">
        <v>45847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45847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32838-2022</t>
        </is>
      </c>
      <c r="B198" s="1" t="n">
        <v>44784</v>
      </c>
      <c r="C198" s="1" t="n">
        <v>45847</v>
      </c>
      <c r="D198" t="inlineStr">
        <is>
          <t>VÄSTRA GÖTALANDS LÄN</t>
        </is>
      </c>
      <c r="E198" t="inlineStr">
        <is>
          <t>VÄNERSBORG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32843-2022</t>
        </is>
      </c>
      <c r="B199" s="1" t="n">
        <v>44784</v>
      </c>
      <c r="C199" s="1" t="n">
        <v>45847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33476-2022</t>
        </is>
      </c>
      <c r="B200" s="1" t="n">
        <v>44788</v>
      </c>
      <c r="C200" s="1" t="n">
        <v>45847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34383-2022</t>
        </is>
      </c>
      <c r="B201" s="1" t="n">
        <v>44792</v>
      </c>
      <c r="C201" s="1" t="n">
        <v>45847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34717-2022</t>
        </is>
      </c>
      <c r="B202" s="1" t="n">
        <v>44795</v>
      </c>
      <c r="C202" s="1" t="n">
        <v>45847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34716-2022</t>
        </is>
      </c>
      <c r="B203" s="1" t="n">
        <v>44795</v>
      </c>
      <c r="C203" s="1" t="n">
        <v>45847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40721-2022</t>
        </is>
      </c>
      <c r="B204" s="1" t="n">
        <v>44824</v>
      </c>
      <c r="C204" s="1" t="n">
        <v>45847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42019-2022</t>
        </is>
      </c>
      <c r="B205" s="1" t="n">
        <v>44830</v>
      </c>
      <c r="C205" s="1" t="n">
        <v>45847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45847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46722-2022</t>
        </is>
      </c>
      <c r="B207" s="1" t="n">
        <v>44851</v>
      </c>
      <c r="C207" s="1" t="n">
        <v>45847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46714-2022</t>
        </is>
      </c>
      <c r="B208" s="1" t="n">
        <v>44851</v>
      </c>
      <c r="C208" s="1" t="n">
        <v>45847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47630-2022</t>
        </is>
      </c>
      <c r="B209" s="1" t="n">
        <v>44852</v>
      </c>
      <c r="C209" s="1" t="n">
        <v>45847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48115-2022</t>
        </is>
      </c>
      <c r="B210" s="1" t="n">
        <v>44857</v>
      </c>
      <c r="C210" s="1" t="n">
        <v>45847</v>
      </c>
      <c r="D210" t="inlineStr">
        <is>
          <t>VÄSTRA GÖTALANDS LÄN</t>
        </is>
      </c>
      <c r="E210" t="inlineStr">
        <is>
          <t>VÄNERSBORG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49600-2022</t>
        </is>
      </c>
      <c r="B211" s="1" t="n">
        <v>44862</v>
      </c>
      <c r="C211" s="1" t="n">
        <v>45847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51985-2022</t>
        </is>
      </c>
      <c r="B212" s="1" t="n">
        <v>44872</v>
      </c>
      <c r="C212" s="1" t="n">
        <v>45847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53537-2022</t>
        </is>
      </c>
      <c r="B213" s="1" t="n">
        <v>44879</v>
      </c>
      <c r="C213" s="1" t="n">
        <v>45847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54005-2022</t>
        </is>
      </c>
      <c r="B214" s="1" t="n">
        <v>44881</v>
      </c>
      <c r="C214" s="1" t="n">
        <v>45847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54003-2022</t>
        </is>
      </c>
      <c r="B215" s="1" t="n">
        <v>44881</v>
      </c>
      <c r="C215" s="1" t="n">
        <v>45847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54001-2022</t>
        </is>
      </c>
      <c r="B216" s="1" t="n">
        <v>44881</v>
      </c>
      <c r="C216" s="1" t="n">
        <v>45847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54221-2022</t>
        </is>
      </c>
      <c r="B217" s="1" t="n">
        <v>44881</v>
      </c>
      <c r="C217" s="1" t="n">
        <v>45847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54000-2022</t>
        </is>
      </c>
      <c r="B218" s="1" t="n">
        <v>44881</v>
      </c>
      <c r="C218" s="1" t="n">
        <v>45847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54006-2022</t>
        </is>
      </c>
      <c r="B219" s="1" t="n">
        <v>44881</v>
      </c>
      <c r="C219" s="1" t="n">
        <v>45847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54899-2022</t>
        </is>
      </c>
      <c r="B220" s="1" t="n">
        <v>44886</v>
      </c>
      <c r="C220" s="1" t="n">
        <v>45847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56712-2022</t>
        </is>
      </c>
      <c r="B221" s="1" t="n">
        <v>44893</v>
      </c>
      <c r="C221" s="1" t="n">
        <v>45847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60995-2022</t>
        </is>
      </c>
      <c r="B222" s="1" t="n">
        <v>44907</v>
      </c>
      <c r="C222" s="1" t="n">
        <v>45847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61409-2022</t>
        </is>
      </c>
      <c r="B223" s="1" t="n">
        <v>44909</v>
      </c>
      <c r="C223" s="1" t="n">
        <v>45847</v>
      </c>
      <c r="D223" t="inlineStr">
        <is>
          <t>VÄSTRA GÖTALANDS LÄN</t>
        </is>
      </c>
      <c r="E223" t="inlineStr">
        <is>
          <t>VÄNERSBORG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45847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505-2023</t>
        </is>
      </c>
      <c r="B225" s="1" t="n">
        <v>44930</v>
      </c>
      <c r="C225" s="1" t="n">
        <v>45847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519-2023</t>
        </is>
      </c>
      <c r="B226" s="1" t="n">
        <v>44930</v>
      </c>
      <c r="C226" s="1" t="n">
        <v>45847</v>
      </c>
      <c r="D226" t="inlineStr">
        <is>
          <t>VÄSTRA GÖTALANDS LÄN</t>
        </is>
      </c>
      <c r="E226" t="inlineStr">
        <is>
          <t>VÄNERSBORG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4023-2023</t>
        </is>
      </c>
      <c r="B227" s="1" t="n">
        <v>44952</v>
      </c>
      <c r="C227" s="1" t="n">
        <v>45847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4141-2023</t>
        </is>
      </c>
      <c r="B228" s="1" t="n">
        <v>44953</v>
      </c>
      <c r="C228" s="1" t="n">
        <v>45847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</v>
      </c>
      <c r="C229" s="1" t="n">
        <v>45847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6274-2023</t>
        </is>
      </c>
      <c r="B230" s="1" t="n">
        <v>44965</v>
      </c>
      <c r="C230" s="1" t="n">
        <v>45847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6273-2023</t>
        </is>
      </c>
      <c r="B231" s="1" t="n">
        <v>44965</v>
      </c>
      <c r="C231" s="1" t="n">
        <v>45847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6752-2023</t>
        </is>
      </c>
      <c r="B232" s="1" t="n">
        <v>44966</v>
      </c>
      <c r="C232" s="1" t="n">
        <v>45847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7774-2023</t>
        </is>
      </c>
      <c r="B233" s="1" t="n">
        <v>44973</v>
      </c>
      <c r="C233" s="1" t="n">
        <v>45847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45847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9732-2023</t>
        </is>
      </c>
      <c r="B235" s="1" t="n">
        <v>44978</v>
      </c>
      <c r="C235" s="1" t="n">
        <v>45847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</v>
      </c>
      <c r="C236" s="1" t="n">
        <v>45847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11230-2023</t>
        </is>
      </c>
      <c r="B237" s="1" t="n">
        <v>44992</v>
      </c>
      <c r="C237" s="1" t="n">
        <v>45847</v>
      </c>
      <c r="D237" t="inlineStr">
        <is>
          <t>VÄSTRA GÖTALANDS LÄN</t>
        </is>
      </c>
      <c r="E237" t="inlineStr">
        <is>
          <t>VÄNERSBORG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11227-2023</t>
        </is>
      </c>
      <c r="B238" s="1" t="n">
        <v>44992</v>
      </c>
      <c r="C238" s="1" t="n">
        <v>45847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45847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12910-2023</t>
        </is>
      </c>
      <c r="B240" s="1" t="n">
        <v>45001</v>
      </c>
      <c r="C240" s="1" t="n">
        <v>45847</v>
      </c>
      <c r="D240" t="inlineStr">
        <is>
          <t>VÄSTRA GÖTALANDS LÄN</t>
        </is>
      </c>
      <c r="E240" t="inlineStr">
        <is>
          <t>VÄNERSBORG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13540-2023</t>
        </is>
      </c>
      <c r="B241" s="1" t="n">
        <v>45006</v>
      </c>
      <c r="C241" s="1" t="n">
        <v>45847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13539-2023</t>
        </is>
      </c>
      <c r="B242" s="1" t="n">
        <v>45006</v>
      </c>
      <c r="C242" s="1" t="n">
        <v>45847</v>
      </c>
      <c r="D242" t="inlineStr">
        <is>
          <t>VÄSTRA GÖTALANDS LÄN</t>
        </is>
      </c>
      <c r="E242" t="inlineStr">
        <is>
          <t>VÄNERSBORG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14294-2023</t>
        </is>
      </c>
      <c r="B243" s="1" t="n">
        <v>45011</v>
      </c>
      <c r="C243" s="1" t="n">
        <v>45847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45847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16418-2023</t>
        </is>
      </c>
      <c r="B245" s="1" t="n">
        <v>45029</v>
      </c>
      <c r="C245" s="1" t="n">
        <v>45847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45847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16841-2023</t>
        </is>
      </c>
      <c r="B247" s="1" t="n">
        <v>45033</v>
      </c>
      <c r="C247" s="1" t="n">
        <v>45847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17169-2023</t>
        </is>
      </c>
      <c r="B248" s="1" t="n">
        <v>45034</v>
      </c>
      <c r="C248" s="1" t="n">
        <v>45847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45847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17172-2023</t>
        </is>
      </c>
      <c r="B250" s="1" t="n">
        <v>45034</v>
      </c>
      <c r="C250" s="1" t="n">
        <v>45847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17342-2023</t>
        </is>
      </c>
      <c r="B251" s="1" t="n">
        <v>45035</v>
      </c>
      <c r="C251" s="1" t="n">
        <v>45847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17647-2023</t>
        </is>
      </c>
      <c r="B252" s="1" t="n">
        <v>45035</v>
      </c>
      <c r="C252" s="1" t="n">
        <v>45847</v>
      </c>
      <c r="D252" t="inlineStr">
        <is>
          <t>VÄSTRA GÖTALANDS LÄN</t>
        </is>
      </c>
      <c r="E252" t="inlineStr">
        <is>
          <t>VÄNERSBORG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17695-2023</t>
        </is>
      </c>
      <c r="B253" s="1" t="n">
        <v>45035</v>
      </c>
      <c r="C253" s="1" t="n">
        <v>45847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17932-2023</t>
        </is>
      </c>
      <c r="B254" s="1" t="n">
        <v>45040</v>
      </c>
      <c r="C254" s="1" t="n">
        <v>45847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18712-2023</t>
        </is>
      </c>
      <c r="B255" s="1" t="n">
        <v>45043</v>
      </c>
      <c r="C255" s="1" t="n">
        <v>45847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</v>
      </c>
      <c r="C256" s="1" t="n">
        <v>45847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45847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45847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20281-2023</t>
        </is>
      </c>
      <c r="B259" s="1" t="n">
        <v>45056</v>
      </c>
      <c r="C259" s="1" t="n">
        <v>45847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20279-2023</t>
        </is>
      </c>
      <c r="B260" s="1" t="n">
        <v>45056</v>
      </c>
      <c r="C260" s="1" t="n">
        <v>45847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45847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20584-2023</t>
        </is>
      </c>
      <c r="B262" s="1" t="n">
        <v>45057</v>
      </c>
      <c r="C262" s="1" t="n">
        <v>45847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20793-2023</t>
        </is>
      </c>
      <c r="B263" s="1" t="n">
        <v>45058</v>
      </c>
      <c r="C263" s="1" t="n">
        <v>45847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</v>
      </c>
      <c r="C264" s="1" t="n">
        <v>45847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21761-2023</t>
        </is>
      </c>
      <c r="B265" s="1" t="n">
        <v>45063</v>
      </c>
      <c r="C265" s="1" t="n">
        <v>45847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22142-2023</t>
        </is>
      </c>
      <c r="B266" s="1" t="n">
        <v>45069</v>
      </c>
      <c r="C266" s="1" t="n">
        <v>45847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45847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24378-2023</t>
        </is>
      </c>
      <c r="B268" s="1" t="n">
        <v>45082</v>
      </c>
      <c r="C268" s="1" t="n">
        <v>45847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</v>
      </c>
      <c r="C269" s="1" t="n">
        <v>45847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27180-2023</t>
        </is>
      </c>
      <c r="B270" s="1" t="n">
        <v>45096</v>
      </c>
      <c r="C270" s="1" t="n">
        <v>45847</v>
      </c>
      <c r="D270" t="inlineStr">
        <is>
          <t>VÄSTRA GÖTALANDS LÄN</t>
        </is>
      </c>
      <c r="E270" t="inlineStr">
        <is>
          <t>VÄNERSBORG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27181-2023</t>
        </is>
      </c>
      <c r="B271" s="1" t="n">
        <v>45096</v>
      </c>
      <c r="C271" s="1" t="n">
        <v>45847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27788-2023</t>
        </is>
      </c>
      <c r="B272" s="1" t="n">
        <v>45098</v>
      </c>
      <c r="C272" s="1" t="n">
        <v>45847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28263-2023</t>
        </is>
      </c>
      <c r="B273" s="1" t="n">
        <v>45099</v>
      </c>
      <c r="C273" s="1" t="n">
        <v>45847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29255-2023</t>
        </is>
      </c>
      <c r="B274" s="1" t="n">
        <v>45105</v>
      </c>
      <c r="C274" s="1" t="n">
        <v>45847</v>
      </c>
      <c r="D274" t="inlineStr">
        <is>
          <t>VÄSTRA GÖTALANDS LÄN</t>
        </is>
      </c>
      <c r="E274" t="inlineStr">
        <is>
          <t>VÄNERSBORG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29264-2023</t>
        </is>
      </c>
      <c r="B275" s="1" t="n">
        <v>45105</v>
      </c>
      <c r="C275" s="1" t="n">
        <v>45847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30055-2023</t>
        </is>
      </c>
      <c r="B276" s="1" t="n">
        <v>45110</v>
      </c>
      <c r="C276" s="1" t="n">
        <v>45847</v>
      </c>
      <c r="D276" t="inlineStr">
        <is>
          <t>VÄSTRA GÖTALANDS LÄN</t>
        </is>
      </c>
      <c r="E276" t="inlineStr">
        <is>
          <t>VÄNERSBORG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33954-2023</t>
        </is>
      </c>
      <c r="B277" s="1" t="n">
        <v>45124</v>
      </c>
      <c r="C277" s="1" t="n">
        <v>45847</v>
      </c>
      <c r="D277" t="inlineStr">
        <is>
          <t>VÄSTRA GÖTALANDS LÄN</t>
        </is>
      </c>
      <c r="E277" t="inlineStr">
        <is>
          <t>VÄNERSBORG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</v>
      </c>
      <c r="C278" s="1" t="n">
        <v>45847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33919-2023</t>
        </is>
      </c>
      <c r="B279" s="1" t="n">
        <v>45134</v>
      </c>
      <c r="C279" s="1" t="n">
        <v>45847</v>
      </c>
      <c r="D279" t="inlineStr">
        <is>
          <t>VÄSTRA GÖTALANDS LÄN</t>
        </is>
      </c>
      <c r="E279" t="inlineStr">
        <is>
          <t>VÄNERSBORG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</v>
      </c>
      <c r="C280" s="1" t="n">
        <v>45847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33910-2023</t>
        </is>
      </c>
      <c r="B281" s="1" t="n">
        <v>45134</v>
      </c>
      <c r="C281" s="1" t="n">
        <v>45847</v>
      </c>
      <c r="D281" t="inlineStr">
        <is>
          <t>VÄSTRA GÖTALANDS LÄN</t>
        </is>
      </c>
      <c r="E281" t="inlineStr">
        <is>
          <t>VÄNERSBORG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33921-2023</t>
        </is>
      </c>
      <c r="B282" s="1" t="n">
        <v>45134</v>
      </c>
      <c r="C282" s="1" t="n">
        <v>45847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</v>
      </c>
      <c r="C283" s="1" t="n">
        <v>45847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33923-2023</t>
        </is>
      </c>
      <c r="B284" s="1" t="n">
        <v>45134</v>
      </c>
      <c r="C284" s="1" t="n">
        <v>45847</v>
      </c>
      <c r="D284" t="inlineStr">
        <is>
          <t>VÄSTRA GÖTALANDS LÄN</t>
        </is>
      </c>
      <c r="E284" t="inlineStr">
        <is>
          <t>VÄNERSBORG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33942-2023</t>
        </is>
      </c>
      <c r="B285" s="1" t="n">
        <v>45134</v>
      </c>
      <c r="C285" s="1" t="n">
        <v>45847</v>
      </c>
      <c r="D285" t="inlineStr">
        <is>
          <t>VÄSTRA GÖTALANDS LÄN</t>
        </is>
      </c>
      <c r="E285" t="inlineStr">
        <is>
          <t>VÄNERSBORG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34183-2023</t>
        </is>
      </c>
      <c r="B286" s="1" t="n">
        <v>45138</v>
      </c>
      <c r="C286" s="1" t="n">
        <v>45847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34255-2023</t>
        </is>
      </c>
      <c r="B287" s="1" t="n">
        <v>45138</v>
      </c>
      <c r="C287" s="1" t="n">
        <v>45847</v>
      </c>
      <c r="D287" t="inlineStr">
        <is>
          <t>VÄSTRA GÖTALANDS LÄN</t>
        </is>
      </c>
      <c r="E287" t="inlineStr">
        <is>
          <t>VÄNERSBORG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45847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39676-2023</t>
        </is>
      </c>
      <c r="B289" s="1" t="n">
        <v>45167</v>
      </c>
      <c r="C289" s="1" t="n">
        <v>45847</v>
      </c>
      <c r="D289" t="inlineStr">
        <is>
          <t>VÄSTRA GÖTALANDS LÄN</t>
        </is>
      </c>
      <c r="E289" t="inlineStr">
        <is>
          <t>VÄNERSBORG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43217-2023</t>
        </is>
      </c>
      <c r="B290" s="1" t="n">
        <v>45180</v>
      </c>
      <c r="C290" s="1" t="n">
        <v>45847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43817-2023</t>
        </is>
      </c>
      <c r="B291" s="1" t="n">
        <v>45187</v>
      </c>
      <c r="C291" s="1" t="n">
        <v>45847</v>
      </c>
      <c r="D291" t="inlineStr">
        <is>
          <t>VÄSTRA GÖTALANDS LÄN</t>
        </is>
      </c>
      <c r="E291" t="inlineStr">
        <is>
          <t>VÄNERSBORG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44361-2023</t>
        </is>
      </c>
      <c r="B292" s="1" t="n">
        <v>45188</v>
      </c>
      <c r="C292" s="1" t="n">
        <v>45847</v>
      </c>
      <c r="D292" t="inlineStr">
        <is>
          <t>VÄSTRA GÖTALANDS LÄN</t>
        </is>
      </c>
      <c r="E292" t="inlineStr">
        <is>
          <t>VÄNERSBORG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49012-2023</t>
        </is>
      </c>
      <c r="B293" s="1" t="n">
        <v>45209</v>
      </c>
      <c r="C293" s="1" t="n">
        <v>45847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45847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50002-2023</t>
        </is>
      </c>
      <c r="B295" s="1" t="n">
        <v>45215</v>
      </c>
      <c r="C295" s="1" t="n">
        <v>45847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53428-2023</t>
        </is>
      </c>
      <c r="B296" s="1" t="n">
        <v>45229</v>
      </c>
      <c r="C296" s="1" t="n">
        <v>45847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54152-2023</t>
        </is>
      </c>
      <c r="B297" s="1" t="n">
        <v>45232</v>
      </c>
      <c r="C297" s="1" t="n">
        <v>45847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55618-2023</t>
        </is>
      </c>
      <c r="B298" s="1" t="n">
        <v>45238</v>
      </c>
      <c r="C298" s="1" t="n">
        <v>45847</v>
      </c>
      <c r="D298" t="inlineStr">
        <is>
          <t>VÄSTRA GÖTALANDS LÄN</t>
        </is>
      </c>
      <c r="E298" t="inlineStr">
        <is>
          <t>VÄNERSBORG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55794-2023</t>
        </is>
      </c>
      <c r="B299" s="1" t="n">
        <v>45239</v>
      </c>
      <c r="C299" s="1" t="n">
        <v>45847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56124-2023</t>
        </is>
      </c>
      <c r="B300" s="1" t="n">
        <v>45240</v>
      </c>
      <c r="C300" s="1" t="n">
        <v>45847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45847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</v>
      </c>
      <c r="C302" s="1" t="n">
        <v>45847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56718-2023</t>
        </is>
      </c>
      <c r="B303" s="1" t="n">
        <v>45244</v>
      </c>
      <c r="C303" s="1" t="n">
        <v>45847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45847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56829-2023</t>
        </is>
      </c>
      <c r="B305" s="1" t="n">
        <v>45244</v>
      </c>
      <c r="C305" s="1" t="n">
        <v>45847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56813-2023</t>
        </is>
      </c>
      <c r="B306" s="1" t="n">
        <v>45244</v>
      </c>
      <c r="C306" s="1" t="n">
        <v>45847</v>
      </c>
      <c r="D306" t="inlineStr">
        <is>
          <t>VÄSTRA GÖTALANDS LÄN</t>
        </is>
      </c>
      <c r="E306" t="inlineStr">
        <is>
          <t>VÄNERSBORG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56821-2023</t>
        </is>
      </c>
      <c r="B307" s="1" t="n">
        <v>45244</v>
      </c>
      <c r="C307" s="1" t="n">
        <v>45847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56838-2023</t>
        </is>
      </c>
      <c r="B308" s="1" t="n">
        <v>45244</v>
      </c>
      <c r="C308" s="1" t="n">
        <v>45847</v>
      </c>
      <c r="D308" t="inlineStr">
        <is>
          <t>VÄSTRA GÖTALANDS LÄN</t>
        </is>
      </c>
      <c r="E308" t="inlineStr">
        <is>
          <t>VÄNERSBORG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56855-2023</t>
        </is>
      </c>
      <c r="B309" s="1" t="n">
        <v>45244</v>
      </c>
      <c r="C309" s="1" t="n">
        <v>45847</v>
      </c>
      <c r="D309" t="inlineStr">
        <is>
          <t>VÄSTRA GÖTALANDS LÄN</t>
        </is>
      </c>
      <c r="E309" t="inlineStr">
        <is>
          <t>VÄNERSBORG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57699-2023</t>
        </is>
      </c>
      <c r="B310" s="1" t="n">
        <v>45246</v>
      </c>
      <c r="C310" s="1" t="n">
        <v>45847</v>
      </c>
      <c r="D310" t="inlineStr">
        <is>
          <t>VÄSTRA GÖTALANDS LÄN</t>
        </is>
      </c>
      <c r="E310" t="inlineStr">
        <is>
          <t>VÄNERSBORG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58514-2023</t>
        </is>
      </c>
      <c r="B311" s="1" t="n">
        <v>45246</v>
      </c>
      <c r="C311" s="1" t="n">
        <v>45847</v>
      </c>
      <c r="D311" t="inlineStr">
        <is>
          <t>VÄSTRA GÖTALANDS LÄN</t>
        </is>
      </c>
      <c r="E311" t="inlineStr">
        <is>
          <t>VÄNERSBORG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59692-2023</t>
        </is>
      </c>
      <c r="B312" s="1" t="n">
        <v>45256</v>
      </c>
      <c r="C312" s="1" t="n">
        <v>45847</v>
      </c>
      <c r="D312" t="inlineStr">
        <is>
          <t>VÄSTRA GÖTALANDS LÄN</t>
        </is>
      </c>
      <c r="E312" t="inlineStr">
        <is>
          <t>VÄNERSBORG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63509-2023</t>
        </is>
      </c>
      <c r="B313" s="1" t="n">
        <v>45274</v>
      </c>
      <c r="C313" s="1" t="n">
        <v>45847</v>
      </c>
      <c r="D313" t="inlineStr">
        <is>
          <t>VÄSTRA GÖTALANDS LÄN</t>
        </is>
      </c>
      <c r="E313" t="inlineStr">
        <is>
          <t>VÄNERSBORG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63939-2023</t>
        </is>
      </c>
      <c r="B314" s="1" t="n">
        <v>45278</v>
      </c>
      <c r="C314" s="1" t="n">
        <v>45847</v>
      </c>
      <c r="D314" t="inlineStr">
        <is>
          <t>VÄSTRA GÖTALANDS LÄN</t>
        </is>
      </c>
      <c r="E314" t="inlineStr">
        <is>
          <t>VÄNERSBORG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63994-2023</t>
        </is>
      </c>
      <c r="B315" s="1" t="n">
        <v>45278</v>
      </c>
      <c r="C315" s="1" t="n">
        <v>45847</v>
      </c>
      <c r="D315" t="inlineStr">
        <is>
          <t>VÄSTRA GÖTALANDS LÄN</t>
        </is>
      </c>
      <c r="E315" t="inlineStr">
        <is>
          <t>VÄNERSBORG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64606-2023</t>
        </is>
      </c>
      <c r="B316" s="1" t="n">
        <v>45281</v>
      </c>
      <c r="C316" s="1" t="n">
        <v>45847</v>
      </c>
      <c r="D316" t="inlineStr">
        <is>
          <t>VÄSTRA GÖTALANDS LÄN</t>
        </is>
      </c>
      <c r="E316" t="inlineStr">
        <is>
          <t>VÄNERSBORG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65120-2023</t>
        </is>
      </c>
      <c r="B317" s="1" t="n">
        <v>45287</v>
      </c>
      <c r="C317" s="1" t="n">
        <v>45847</v>
      </c>
      <c r="D317" t="inlineStr">
        <is>
          <t>VÄSTRA GÖTALANDS LÄN</t>
        </is>
      </c>
      <c r="E317" t="inlineStr">
        <is>
          <t>VÄNERSBORG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120-2024</t>
        </is>
      </c>
      <c r="B318" s="1" t="n">
        <v>45294</v>
      </c>
      <c r="C318" s="1" t="n">
        <v>45847</v>
      </c>
      <c r="D318" t="inlineStr">
        <is>
          <t>VÄSTRA GÖTALANDS LÄN</t>
        </is>
      </c>
      <c r="E318" t="inlineStr">
        <is>
          <t>VÄNERSBORG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483-2024</t>
        </is>
      </c>
      <c r="B319" s="1" t="n">
        <v>45298</v>
      </c>
      <c r="C319" s="1" t="n">
        <v>45847</v>
      </c>
      <c r="D319" t="inlineStr">
        <is>
          <t>VÄSTRA GÖTALANDS LÄN</t>
        </is>
      </c>
      <c r="E319" t="inlineStr">
        <is>
          <t>VÄNERSBORG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1749-2024</t>
        </is>
      </c>
      <c r="B320" s="1" t="n">
        <v>45307</v>
      </c>
      <c r="C320" s="1" t="n">
        <v>45847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2556-2024</t>
        </is>
      </c>
      <c r="B321" s="1" t="n">
        <v>45313</v>
      </c>
      <c r="C321" s="1" t="n">
        <v>45847</v>
      </c>
      <c r="D321" t="inlineStr">
        <is>
          <t>VÄSTRA GÖTALANDS LÄN</t>
        </is>
      </c>
      <c r="E321" t="inlineStr">
        <is>
          <t>VÄNERSBORG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2718-2024</t>
        </is>
      </c>
      <c r="B322" s="1" t="n">
        <v>45314</v>
      </c>
      <c r="C322" s="1" t="n">
        <v>45847</v>
      </c>
      <c r="D322" t="inlineStr">
        <is>
          <t>VÄSTRA GÖTALANDS LÄN</t>
        </is>
      </c>
      <c r="E322" t="inlineStr">
        <is>
          <t>VÄNERSBORG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4736-2024</t>
        </is>
      </c>
      <c r="B323" s="1" t="n">
        <v>45328</v>
      </c>
      <c r="C323" s="1" t="n">
        <v>45847</v>
      </c>
      <c r="D323" t="inlineStr">
        <is>
          <t>VÄSTRA GÖTALANDS LÄN</t>
        </is>
      </c>
      <c r="E323" t="inlineStr">
        <is>
          <t>VÄNERSBORG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7420-2024</t>
        </is>
      </c>
      <c r="B324" s="1" t="n">
        <v>45345</v>
      </c>
      <c r="C324" s="1" t="n">
        <v>45847</v>
      </c>
      <c r="D324" t="inlineStr">
        <is>
          <t>VÄSTRA GÖTALANDS LÄN</t>
        </is>
      </c>
      <c r="E324" t="inlineStr">
        <is>
          <t>VÄNERSBORG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7399-2024</t>
        </is>
      </c>
      <c r="B325" s="1" t="n">
        <v>45345</v>
      </c>
      <c r="C325" s="1" t="n">
        <v>45847</v>
      </c>
      <c r="D325" t="inlineStr">
        <is>
          <t>VÄSTRA GÖTALANDS LÄN</t>
        </is>
      </c>
      <c r="E325" t="inlineStr">
        <is>
          <t>VÄNERSBORG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7590-2024</t>
        </is>
      </c>
      <c r="B326" s="1" t="n">
        <v>45348</v>
      </c>
      <c r="C326" s="1" t="n">
        <v>45847</v>
      </c>
      <c r="D326" t="inlineStr">
        <is>
          <t>VÄSTRA GÖTALANDS LÄN</t>
        </is>
      </c>
      <c r="E326" t="inlineStr">
        <is>
          <t>VÄNERSBORG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7640-2024</t>
        </is>
      </c>
      <c r="B327" s="1" t="n">
        <v>45348</v>
      </c>
      <c r="C327" s="1" t="n">
        <v>45847</v>
      </c>
      <c r="D327" t="inlineStr">
        <is>
          <t>VÄSTRA GÖTALANDS LÄN</t>
        </is>
      </c>
      <c r="E327" t="inlineStr">
        <is>
          <t>VÄNERSBORG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8116-2024</t>
        </is>
      </c>
      <c r="B328" s="1" t="n">
        <v>45351</v>
      </c>
      <c r="C328" s="1" t="n">
        <v>45847</v>
      </c>
      <c r="D328" t="inlineStr">
        <is>
          <t>VÄSTRA GÖTALANDS LÄN</t>
        </is>
      </c>
      <c r="E328" t="inlineStr">
        <is>
          <t>VÄNERSBORG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8205-2024</t>
        </is>
      </c>
      <c r="B329" s="1" t="n">
        <v>45351</v>
      </c>
      <c r="C329" s="1" t="n">
        <v>45847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8366-2024</t>
        </is>
      </c>
      <c r="B330" s="1" t="n">
        <v>45352</v>
      </c>
      <c r="C330" s="1" t="n">
        <v>45847</v>
      </c>
      <c r="D330" t="inlineStr">
        <is>
          <t>VÄSTRA GÖTALANDS LÄN</t>
        </is>
      </c>
      <c r="E330" t="inlineStr">
        <is>
          <t>VÄNERSBORG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8850-2024</t>
        </is>
      </c>
      <c r="B331" s="1" t="n">
        <v>45356</v>
      </c>
      <c r="C331" s="1" t="n">
        <v>45847</v>
      </c>
      <c r="D331" t="inlineStr">
        <is>
          <t>VÄSTRA GÖTALANDS LÄN</t>
        </is>
      </c>
      <c r="E331" t="inlineStr">
        <is>
          <t>VÄNERSBORG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8943-2024</t>
        </is>
      </c>
      <c r="B332" s="1" t="n">
        <v>45356</v>
      </c>
      <c r="C332" s="1" t="n">
        <v>45847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8953-2024</t>
        </is>
      </c>
      <c r="B333" s="1" t="n">
        <v>45356</v>
      </c>
      <c r="C333" s="1" t="n">
        <v>45847</v>
      </c>
      <c r="D333" t="inlineStr">
        <is>
          <t>VÄSTRA GÖTALANDS LÄN</t>
        </is>
      </c>
      <c r="E333" t="inlineStr">
        <is>
          <t>VÄNERSBORG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10991-2024</t>
        </is>
      </c>
      <c r="B334" s="1" t="n">
        <v>45370</v>
      </c>
      <c r="C334" s="1" t="n">
        <v>45847</v>
      </c>
      <c r="D334" t="inlineStr">
        <is>
          <t>VÄSTRA GÖTALANDS LÄN</t>
        </is>
      </c>
      <c r="E334" t="inlineStr">
        <is>
          <t>VÄNERSBORG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11129-2024</t>
        </is>
      </c>
      <c r="B335" s="1" t="n">
        <v>45371</v>
      </c>
      <c r="C335" s="1" t="n">
        <v>45847</v>
      </c>
      <c r="D335" t="inlineStr">
        <is>
          <t>VÄSTRA GÖTALANDS LÄN</t>
        </is>
      </c>
      <c r="E335" t="inlineStr">
        <is>
          <t>VÄNERSBORG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12214-2024</t>
        </is>
      </c>
      <c r="B336" s="1" t="n">
        <v>45378</v>
      </c>
      <c r="C336" s="1" t="n">
        <v>45847</v>
      </c>
      <c r="D336" t="inlineStr">
        <is>
          <t>VÄSTRA GÖTALANDS LÄN</t>
        </is>
      </c>
      <c r="E336" t="inlineStr">
        <is>
          <t>VÄNERSBORG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12610-2024</t>
        </is>
      </c>
      <c r="B337" s="1" t="n">
        <v>45382</v>
      </c>
      <c r="C337" s="1" t="n">
        <v>45847</v>
      </c>
      <c r="D337" t="inlineStr">
        <is>
          <t>VÄSTRA GÖTALANDS LÄN</t>
        </is>
      </c>
      <c r="E337" t="inlineStr">
        <is>
          <t>VÄNERSBORG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13449-2024</t>
        </is>
      </c>
      <c r="B338" s="1" t="n">
        <v>45387</v>
      </c>
      <c r="C338" s="1" t="n">
        <v>45847</v>
      </c>
      <c r="D338" t="inlineStr">
        <is>
          <t>VÄSTRA GÖTALANDS LÄN</t>
        </is>
      </c>
      <c r="E338" t="inlineStr">
        <is>
          <t>VÄNERSBORG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13500-2024</t>
        </is>
      </c>
      <c r="B339" s="1" t="n">
        <v>45387</v>
      </c>
      <c r="C339" s="1" t="n">
        <v>45847</v>
      </c>
      <c r="D339" t="inlineStr">
        <is>
          <t>VÄSTRA GÖTALANDS LÄN</t>
        </is>
      </c>
      <c r="E339" t="inlineStr">
        <is>
          <t>VÄNERSBORG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13451-2024</t>
        </is>
      </c>
      <c r="B340" s="1" t="n">
        <v>45387</v>
      </c>
      <c r="C340" s="1" t="n">
        <v>45847</v>
      </c>
      <c r="D340" t="inlineStr">
        <is>
          <t>VÄSTRA GÖTALANDS LÄN</t>
        </is>
      </c>
      <c r="E340" t="inlineStr">
        <is>
          <t>VÄNERSBORG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13698-2024</t>
        </is>
      </c>
      <c r="B341" s="1" t="n">
        <v>45390</v>
      </c>
      <c r="C341" s="1" t="n">
        <v>45847</v>
      </c>
      <c r="D341" t="inlineStr">
        <is>
          <t>VÄSTRA GÖTALANDS LÄN</t>
        </is>
      </c>
      <c r="E341" t="inlineStr">
        <is>
          <t>VÄNERSBORG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14238-2024</t>
        </is>
      </c>
      <c r="B342" s="1" t="n">
        <v>45393</v>
      </c>
      <c r="C342" s="1" t="n">
        <v>45847</v>
      </c>
      <c r="D342" t="inlineStr">
        <is>
          <t>VÄSTRA GÖTALANDS LÄN</t>
        </is>
      </c>
      <c r="E342" t="inlineStr">
        <is>
          <t>VÄNERSBORG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14798-2024</t>
        </is>
      </c>
      <c r="B343" s="1" t="n">
        <v>45397</v>
      </c>
      <c r="C343" s="1" t="n">
        <v>45847</v>
      </c>
      <c r="D343" t="inlineStr">
        <is>
          <t>VÄSTRA GÖTALANDS LÄN</t>
        </is>
      </c>
      <c r="E343" t="inlineStr">
        <is>
          <t>VÄNERSBORG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HYPERLINK("https://klasma.github.io/Logging_1487/knärot/A 14798-2024 karta knärot.png", "A 14798-2024")</f>
        <v/>
      </c>
      <c r="V343">
        <f>HYPERLINK("https://klasma.github.io/Logging_1487/klagomål/A 14798-2024 FSC-klagomål.docx", "A 14798-2024")</f>
        <v/>
      </c>
      <c r="W343">
        <f>HYPERLINK("https://klasma.github.io/Logging_1487/klagomålsmail/A 14798-2024 FSC-klagomål mail.docx", "A 14798-2024")</f>
        <v/>
      </c>
      <c r="X343">
        <f>HYPERLINK("https://klasma.github.io/Logging_1487/tillsyn/A 14798-2024 tillsynsbegäran.docx", "A 14798-2024")</f>
        <v/>
      </c>
      <c r="Y343">
        <f>HYPERLINK("https://klasma.github.io/Logging_1487/tillsynsmail/A 14798-2024 tillsynsbegäran mail.docx", "A 14798-2024")</f>
        <v/>
      </c>
    </row>
    <row r="344" ht="15" customHeight="1">
      <c r="A344" t="inlineStr">
        <is>
          <t>A 15108-2024</t>
        </is>
      </c>
      <c r="B344" s="1" t="n">
        <v>45399</v>
      </c>
      <c r="C344" s="1" t="n">
        <v>45847</v>
      </c>
      <c r="D344" t="inlineStr">
        <is>
          <t>VÄSTRA GÖTALANDS LÄN</t>
        </is>
      </c>
      <c r="E344" t="inlineStr">
        <is>
          <t>VÄNERSBORG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15102-2024</t>
        </is>
      </c>
      <c r="B345" s="1" t="n">
        <v>45399</v>
      </c>
      <c r="C345" s="1" t="n">
        <v>45847</v>
      </c>
      <c r="D345" t="inlineStr">
        <is>
          <t>VÄSTRA GÖTALANDS LÄN</t>
        </is>
      </c>
      <c r="E345" t="inlineStr">
        <is>
          <t>VÄNERSBORG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15099-2024</t>
        </is>
      </c>
      <c r="B346" s="1" t="n">
        <v>45399</v>
      </c>
      <c r="C346" s="1" t="n">
        <v>45847</v>
      </c>
      <c r="D346" t="inlineStr">
        <is>
          <t>VÄSTRA GÖTALANDS LÄN</t>
        </is>
      </c>
      <c r="E346" t="inlineStr">
        <is>
          <t>VÄNERSBORG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15107-2024</t>
        </is>
      </c>
      <c r="B347" s="1" t="n">
        <v>45399</v>
      </c>
      <c r="C347" s="1" t="n">
        <v>45847</v>
      </c>
      <c r="D347" t="inlineStr">
        <is>
          <t>VÄSTRA GÖTALANDS LÄN</t>
        </is>
      </c>
      <c r="E347" t="inlineStr">
        <is>
          <t>VÄNERSBORG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15159-2024</t>
        </is>
      </c>
      <c r="B348" s="1" t="n">
        <v>45400</v>
      </c>
      <c r="C348" s="1" t="n">
        <v>45847</v>
      </c>
      <c r="D348" t="inlineStr">
        <is>
          <t>VÄSTRA GÖTALANDS LÄN</t>
        </is>
      </c>
      <c r="E348" t="inlineStr">
        <is>
          <t>VÄNERSBORG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15960-2024</t>
        </is>
      </c>
      <c r="B349" s="1" t="n">
        <v>45405</v>
      </c>
      <c r="C349" s="1" t="n">
        <v>45847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15957-2024</t>
        </is>
      </c>
      <c r="B350" s="1" t="n">
        <v>45405</v>
      </c>
      <c r="C350" s="1" t="n">
        <v>45847</v>
      </c>
      <c r="D350" t="inlineStr">
        <is>
          <t>VÄSTRA GÖTALANDS LÄN</t>
        </is>
      </c>
      <c r="E350" t="inlineStr">
        <is>
          <t>VÄNERSBORG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16551-2024</t>
        </is>
      </c>
      <c r="B351" s="1" t="n">
        <v>45408</v>
      </c>
      <c r="C351" s="1" t="n">
        <v>45847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16922-2024</t>
        </is>
      </c>
      <c r="B352" s="1" t="n">
        <v>45411</v>
      </c>
      <c r="C352" s="1" t="n">
        <v>45847</v>
      </c>
      <c r="D352" t="inlineStr">
        <is>
          <t>VÄSTRA GÖTALANDS LÄN</t>
        </is>
      </c>
      <c r="E352" t="inlineStr">
        <is>
          <t>VÄNERSBORG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17207-2024</t>
        </is>
      </c>
      <c r="B353" s="1" t="n">
        <v>45413</v>
      </c>
      <c r="C353" s="1" t="n">
        <v>45847</v>
      </c>
      <c r="D353" t="inlineStr">
        <is>
          <t>VÄSTRA GÖTALANDS LÄN</t>
        </is>
      </c>
      <c r="E353" t="inlineStr">
        <is>
          <t>VÄNERSBORG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17206-2024</t>
        </is>
      </c>
      <c r="B354" s="1" t="n">
        <v>45413</v>
      </c>
      <c r="C354" s="1" t="n">
        <v>45847</v>
      </c>
      <c r="D354" t="inlineStr">
        <is>
          <t>VÄSTRA GÖTALANDS LÄN</t>
        </is>
      </c>
      <c r="E354" t="inlineStr">
        <is>
          <t>VÄNERSBORG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17749-2024</t>
        </is>
      </c>
      <c r="B355" s="1" t="n">
        <v>45418</v>
      </c>
      <c r="C355" s="1" t="n">
        <v>45847</v>
      </c>
      <c r="D355" t="inlineStr">
        <is>
          <t>VÄSTRA GÖTALANDS LÄN</t>
        </is>
      </c>
      <c r="E355" t="inlineStr">
        <is>
          <t>VÄNERSBORG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17862-2024</t>
        </is>
      </c>
      <c r="B356" s="1" t="n">
        <v>45419</v>
      </c>
      <c r="C356" s="1" t="n">
        <v>45847</v>
      </c>
      <c r="D356" t="inlineStr">
        <is>
          <t>VÄSTRA GÖTALANDS LÄN</t>
        </is>
      </c>
      <c r="E356" t="inlineStr">
        <is>
          <t>VÄNERSBORG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17870-2024</t>
        </is>
      </c>
      <c r="B357" s="1" t="n">
        <v>45419</v>
      </c>
      <c r="C357" s="1" t="n">
        <v>45847</v>
      </c>
      <c r="D357" t="inlineStr">
        <is>
          <t>VÄSTRA GÖTALANDS LÄN</t>
        </is>
      </c>
      <c r="E357" t="inlineStr">
        <is>
          <t>VÄNERSBORG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17864-2024</t>
        </is>
      </c>
      <c r="B358" s="1" t="n">
        <v>45419</v>
      </c>
      <c r="C358" s="1" t="n">
        <v>45847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17861-2024</t>
        </is>
      </c>
      <c r="B359" s="1" t="n">
        <v>45419</v>
      </c>
      <c r="C359" s="1" t="n">
        <v>45847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17871-2024</t>
        </is>
      </c>
      <c r="B360" s="1" t="n">
        <v>45419</v>
      </c>
      <c r="C360" s="1" t="n">
        <v>45847</v>
      </c>
      <c r="D360" t="inlineStr">
        <is>
          <t>VÄSTRA GÖTALANDS LÄN</t>
        </is>
      </c>
      <c r="E360" t="inlineStr">
        <is>
          <t>VÄNERSBORG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17872-2024</t>
        </is>
      </c>
      <c r="B361" s="1" t="n">
        <v>45419</v>
      </c>
      <c r="C361" s="1" t="n">
        <v>45847</v>
      </c>
      <c r="D361" t="inlineStr">
        <is>
          <t>VÄSTRA GÖTALANDS LÄN</t>
        </is>
      </c>
      <c r="E361" t="inlineStr">
        <is>
          <t>VÄNERSBORG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18997-2024</t>
        </is>
      </c>
      <c r="B362" s="1" t="n">
        <v>45427</v>
      </c>
      <c r="C362" s="1" t="n">
        <v>45847</v>
      </c>
      <c r="D362" t="inlineStr">
        <is>
          <t>VÄSTRA GÖTALANDS LÄN</t>
        </is>
      </c>
      <c r="E362" t="inlineStr">
        <is>
          <t>VÄNERSBORG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18937-2024</t>
        </is>
      </c>
      <c r="B363" s="1" t="n">
        <v>45427</v>
      </c>
      <c r="C363" s="1" t="n">
        <v>45847</v>
      </c>
      <c r="D363" t="inlineStr">
        <is>
          <t>VÄSTRA GÖTALANDS LÄN</t>
        </is>
      </c>
      <c r="E363" t="inlineStr">
        <is>
          <t>VÄNERSBORG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20496-2024</t>
        </is>
      </c>
      <c r="B364" s="1" t="n">
        <v>45436</v>
      </c>
      <c r="C364" s="1" t="n">
        <v>45847</v>
      </c>
      <c r="D364" t="inlineStr">
        <is>
          <t>VÄSTRA GÖTALANDS LÄN</t>
        </is>
      </c>
      <c r="E364" t="inlineStr">
        <is>
          <t>VÄNERSBORG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22402-2024</t>
        </is>
      </c>
      <c r="B365" s="1" t="n">
        <v>45446</v>
      </c>
      <c r="C365" s="1" t="n">
        <v>45847</v>
      </c>
      <c r="D365" t="inlineStr">
        <is>
          <t>VÄSTRA GÖTALANDS LÄN</t>
        </is>
      </c>
      <c r="E365" t="inlineStr">
        <is>
          <t>VÄNERSBORG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22387-2024</t>
        </is>
      </c>
      <c r="B366" s="1" t="n">
        <v>45446</v>
      </c>
      <c r="C366" s="1" t="n">
        <v>45847</v>
      </c>
      <c r="D366" t="inlineStr">
        <is>
          <t>VÄSTRA GÖTALANDS LÄN</t>
        </is>
      </c>
      <c r="E366" t="inlineStr">
        <is>
          <t>VÄNERSBORG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23855-2024</t>
        </is>
      </c>
      <c r="B367" s="1" t="n">
        <v>45455</v>
      </c>
      <c r="C367" s="1" t="n">
        <v>45847</v>
      </c>
      <c r="D367" t="inlineStr">
        <is>
          <t>VÄSTRA GÖTALANDS LÄN</t>
        </is>
      </c>
      <c r="E367" t="inlineStr">
        <is>
          <t>VÄNERSBORG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24102-2024</t>
        </is>
      </c>
      <c r="B368" s="1" t="n">
        <v>45456</v>
      </c>
      <c r="C368" s="1" t="n">
        <v>45847</v>
      </c>
      <c r="D368" t="inlineStr">
        <is>
          <t>VÄSTRA GÖTALANDS LÄN</t>
        </is>
      </c>
      <c r="E368" t="inlineStr">
        <is>
          <t>VÄNERSBORG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24107-2024</t>
        </is>
      </c>
      <c r="B369" s="1" t="n">
        <v>45456</v>
      </c>
      <c r="C369" s="1" t="n">
        <v>45847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27051-2024</t>
        </is>
      </c>
      <c r="B370" s="1" t="n">
        <v>45471</v>
      </c>
      <c r="C370" s="1" t="n">
        <v>45847</v>
      </c>
      <c r="D370" t="inlineStr">
        <is>
          <t>VÄSTRA GÖTALANDS LÄN</t>
        </is>
      </c>
      <c r="E370" t="inlineStr">
        <is>
          <t>VÄNERSBORG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27232-2024</t>
        </is>
      </c>
      <c r="B371" s="1" t="n">
        <v>45471</v>
      </c>
      <c r="C371" s="1" t="n">
        <v>45847</v>
      </c>
      <c r="D371" t="inlineStr">
        <is>
          <t>VÄSTRA GÖTALANDS LÄN</t>
        </is>
      </c>
      <c r="E371" t="inlineStr">
        <is>
          <t>VÄNERSBORG</t>
        </is>
      </c>
      <c r="G371" t="n">
        <v>19.3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27816-2024</t>
        </is>
      </c>
      <c r="B372" s="1" t="n">
        <v>45475</v>
      </c>
      <c r="C372" s="1" t="n">
        <v>45847</v>
      </c>
      <c r="D372" t="inlineStr">
        <is>
          <t>VÄSTRA GÖTALANDS LÄN</t>
        </is>
      </c>
      <c r="E372" t="inlineStr">
        <is>
          <t>VÄNERSBORG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27815-2024</t>
        </is>
      </c>
      <c r="B373" s="1" t="n">
        <v>45475</v>
      </c>
      <c r="C373" s="1" t="n">
        <v>45847</v>
      </c>
      <c r="D373" t="inlineStr">
        <is>
          <t>VÄSTRA GÖTALANDS LÄN</t>
        </is>
      </c>
      <c r="E373" t="inlineStr">
        <is>
          <t>VÄNERSBORG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27823-2024</t>
        </is>
      </c>
      <c r="B374" s="1" t="n">
        <v>45475</v>
      </c>
      <c r="C374" s="1" t="n">
        <v>45847</v>
      </c>
      <c r="D374" t="inlineStr">
        <is>
          <t>VÄSTRA GÖTALANDS LÄN</t>
        </is>
      </c>
      <c r="E374" t="inlineStr">
        <is>
          <t>VÄNERSBORG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28061-2024</t>
        </is>
      </c>
      <c r="B375" s="1" t="n">
        <v>45476</v>
      </c>
      <c r="C375" s="1" t="n">
        <v>45847</v>
      </c>
      <c r="D375" t="inlineStr">
        <is>
          <t>VÄSTRA GÖTALANDS LÄN</t>
        </is>
      </c>
      <c r="E375" t="inlineStr">
        <is>
          <t>VÄNERSBORG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31361-2024</t>
        </is>
      </c>
      <c r="B376" s="1" t="n">
        <v>45505</v>
      </c>
      <c r="C376" s="1" t="n">
        <v>45847</v>
      </c>
      <c r="D376" t="inlineStr">
        <is>
          <t>VÄSTRA GÖTALANDS LÄN</t>
        </is>
      </c>
      <c r="E376" t="inlineStr">
        <is>
          <t>VÄNERSBORG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31797-2024</t>
        </is>
      </c>
      <c r="B377" s="1" t="n">
        <v>45509</v>
      </c>
      <c r="C377" s="1" t="n">
        <v>45847</v>
      </c>
      <c r="D377" t="inlineStr">
        <is>
          <t>VÄSTRA GÖTALANDS LÄN</t>
        </is>
      </c>
      <c r="E377" t="inlineStr">
        <is>
          <t>VÄNERSBORG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31796-2024</t>
        </is>
      </c>
      <c r="B378" s="1" t="n">
        <v>45509</v>
      </c>
      <c r="C378" s="1" t="n">
        <v>45847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33069-2024</t>
        </is>
      </c>
      <c r="B379" s="1" t="n">
        <v>45517</v>
      </c>
      <c r="C379" s="1" t="n">
        <v>45847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33033-2024</t>
        </is>
      </c>
      <c r="B380" s="1" t="n">
        <v>45517</v>
      </c>
      <c r="C380" s="1" t="n">
        <v>45847</v>
      </c>
      <c r="D380" t="inlineStr">
        <is>
          <t>VÄSTRA GÖTALANDS LÄN</t>
        </is>
      </c>
      <c r="E380" t="inlineStr">
        <is>
          <t>VÄNERSBORG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36675-2024</t>
        </is>
      </c>
      <c r="B381" s="1" t="n">
        <v>45537</v>
      </c>
      <c r="C381" s="1" t="n">
        <v>45847</v>
      </c>
      <c r="D381" t="inlineStr">
        <is>
          <t>VÄSTRA GÖTALANDS LÄN</t>
        </is>
      </c>
      <c r="E381" t="inlineStr">
        <is>
          <t>VÄNERSBORG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36687-2024</t>
        </is>
      </c>
      <c r="B382" s="1" t="n">
        <v>45537</v>
      </c>
      <c r="C382" s="1" t="n">
        <v>45847</v>
      </c>
      <c r="D382" t="inlineStr">
        <is>
          <t>VÄSTRA GÖTALANDS LÄN</t>
        </is>
      </c>
      <c r="E382" t="inlineStr">
        <is>
          <t>VÄNERSBORG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38360-2024</t>
        </is>
      </c>
      <c r="B383" s="1" t="n">
        <v>45545</v>
      </c>
      <c r="C383" s="1" t="n">
        <v>45847</v>
      </c>
      <c r="D383" t="inlineStr">
        <is>
          <t>VÄSTRA GÖTALANDS LÄN</t>
        </is>
      </c>
      <c r="E383" t="inlineStr">
        <is>
          <t>VÄNERSBORG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40363-2024</t>
        </is>
      </c>
      <c r="B384" s="1" t="n">
        <v>45555</v>
      </c>
      <c r="C384" s="1" t="n">
        <v>45847</v>
      </c>
      <c r="D384" t="inlineStr">
        <is>
          <t>VÄSTRA GÖTALANDS LÄN</t>
        </is>
      </c>
      <c r="E384" t="inlineStr">
        <is>
          <t>VÄNERSBORG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40399-2024</t>
        </is>
      </c>
      <c r="B385" s="1" t="n">
        <v>45555</v>
      </c>
      <c r="C385" s="1" t="n">
        <v>45847</v>
      </c>
      <c r="D385" t="inlineStr">
        <is>
          <t>VÄSTRA GÖTALANDS LÄN</t>
        </is>
      </c>
      <c r="E385" t="inlineStr">
        <is>
          <t>VÄNERSBORG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40930-2024</t>
        </is>
      </c>
      <c r="B386" s="1" t="n">
        <v>45558</v>
      </c>
      <c r="C386" s="1" t="n">
        <v>45847</v>
      </c>
      <c r="D386" t="inlineStr">
        <is>
          <t>VÄSTRA GÖTALANDS LÄN</t>
        </is>
      </c>
      <c r="E386" t="inlineStr">
        <is>
          <t>VÄNERSBORG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40939-2024</t>
        </is>
      </c>
      <c r="B387" s="1" t="n">
        <v>45558</v>
      </c>
      <c r="C387" s="1" t="n">
        <v>45847</v>
      </c>
      <c r="D387" t="inlineStr">
        <is>
          <t>VÄSTRA GÖTALANDS LÄN</t>
        </is>
      </c>
      <c r="E387" t="inlineStr">
        <is>
          <t>VÄNERSBORG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42602-2024</t>
        </is>
      </c>
      <c r="B388" s="1" t="n">
        <v>45565</v>
      </c>
      <c r="C388" s="1" t="n">
        <v>45847</v>
      </c>
      <c r="D388" t="inlineStr">
        <is>
          <t>VÄSTRA GÖTALANDS LÄN</t>
        </is>
      </c>
      <c r="E388" t="inlineStr">
        <is>
          <t>VÄNERSBORG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42605-2024</t>
        </is>
      </c>
      <c r="B389" s="1" t="n">
        <v>45565</v>
      </c>
      <c r="C389" s="1" t="n">
        <v>45847</v>
      </c>
      <c r="D389" t="inlineStr">
        <is>
          <t>VÄSTRA GÖTALANDS LÄN</t>
        </is>
      </c>
      <c r="E389" t="inlineStr">
        <is>
          <t>VÄNERSBORG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42698-2024</t>
        </is>
      </c>
      <c r="B390" s="1" t="n">
        <v>45566</v>
      </c>
      <c r="C390" s="1" t="n">
        <v>45847</v>
      </c>
      <c r="D390" t="inlineStr">
        <is>
          <t>VÄSTRA GÖTALANDS LÄN</t>
        </is>
      </c>
      <c r="E390" t="inlineStr">
        <is>
          <t>VÄNERSBORG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43414-2024</t>
        </is>
      </c>
      <c r="B391" s="1" t="n">
        <v>45568</v>
      </c>
      <c r="C391" s="1" t="n">
        <v>45847</v>
      </c>
      <c r="D391" t="inlineStr">
        <is>
          <t>VÄSTRA GÖTALANDS LÄN</t>
        </is>
      </c>
      <c r="E391" t="inlineStr">
        <is>
          <t>VÄNERSBORG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43328-2024</t>
        </is>
      </c>
      <c r="B392" s="1" t="n">
        <v>45568</v>
      </c>
      <c r="C392" s="1" t="n">
        <v>45847</v>
      </c>
      <c r="D392" t="inlineStr">
        <is>
          <t>VÄSTRA GÖTALANDS LÄN</t>
        </is>
      </c>
      <c r="E392" t="inlineStr">
        <is>
          <t>VÄNERSBORG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43325-2024</t>
        </is>
      </c>
      <c r="B393" s="1" t="n">
        <v>45568</v>
      </c>
      <c r="C393" s="1" t="n">
        <v>45847</v>
      </c>
      <c r="D393" t="inlineStr">
        <is>
          <t>VÄSTRA GÖTALANDS LÄN</t>
        </is>
      </c>
      <c r="E393" t="inlineStr">
        <is>
          <t>VÄNERSBORG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43798-2024</t>
        </is>
      </c>
      <c r="B394" s="1" t="n">
        <v>45571</v>
      </c>
      <c r="C394" s="1" t="n">
        <v>45847</v>
      </c>
      <c r="D394" t="inlineStr">
        <is>
          <t>VÄSTRA GÖTALANDS LÄN</t>
        </is>
      </c>
      <c r="E394" t="inlineStr">
        <is>
          <t>VÄNERSBORG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43799-2024</t>
        </is>
      </c>
      <c r="B395" s="1" t="n">
        <v>45571</v>
      </c>
      <c r="C395" s="1" t="n">
        <v>45847</v>
      </c>
      <c r="D395" t="inlineStr">
        <is>
          <t>VÄSTRA GÖTALANDS LÄN</t>
        </is>
      </c>
      <c r="E395" t="inlineStr">
        <is>
          <t>VÄNERSBORG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43856-2024</t>
        </is>
      </c>
      <c r="B396" s="1" t="n">
        <v>45572</v>
      </c>
      <c r="C396" s="1" t="n">
        <v>45847</v>
      </c>
      <c r="D396" t="inlineStr">
        <is>
          <t>VÄSTRA GÖTALANDS LÄN</t>
        </is>
      </c>
      <c r="E396" t="inlineStr">
        <is>
          <t>VÄNERSBORG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45467-2024</t>
        </is>
      </c>
      <c r="B397" s="1" t="n">
        <v>45576</v>
      </c>
      <c r="C397" s="1" t="n">
        <v>45847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45754-2024</t>
        </is>
      </c>
      <c r="B398" s="1" t="n">
        <v>45579</v>
      </c>
      <c r="C398" s="1" t="n">
        <v>45847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46051-2024</t>
        </is>
      </c>
      <c r="B399" s="1" t="n">
        <v>45580</v>
      </c>
      <c r="C399" s="1" t="n">
        <v>45847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46320-2024</t>
        </is>
      </c>
      <c r="B400" s="1" t="n">
        <v>45581</v>
      </c>
      <c r="C400" s="1" t="n">
        <v>45847</v>
      </c>
      <c r="D400" t="inlineStr">
        <is>
          <t>VÄSTRA GÖTALANDS LÄN</t>
        </is>
      </c>
      <c r="E400" t="inlineStr">
        <is>
          <t>VÄNERSBORG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46520-2024</t>
        </is>
      </c>
      <c r="B401" s="1" t="n">
        <v>45582</v>
      </c>
      <c r="C401" s="1" t="n">
        <v>45847</v>
      </c>
      <c r="D401" t="inlineStr">
        <is>
          <t>VÄSTRA GÖTALANDS LÄN</t>
        </is>
      </c>
      <c r="E401" t="inlineStr">
        <is>
          <t>VÄNERSBORG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46514-2024</t>
        </is>
      </c>
      <c r="B402" s="1" t="n">
        <v>45582</v>
      </c>
      <c r="C402" s="1" t="n">
        <v>45847</v>
      </c>
      <c r="D402" t="inlineStr">
        <is>
          <t>VÄSTRA GÖTALANDS LÄN</t>
        </is>
      </c>
      <c r="E402" t="inlineStr">
        <is>
          <t>VÄNERSBORG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46515-2024</t>
        </is>
      </c>
      <c r="B403" s="1" t="n">
        <v>45582</v>
      </c>
      <c r="C403" s="1" t="n">
        <v>45847</v>
      </c>
      <c r="D403" t="inlineStr">
        <is>
          <t>VÄSTRA GÖTALANDS LÄN</t>
        </is>
      </c>
      <c r="E403" t="inlineStr">
        <is>
          <t>VÄNERSBORG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46519-2024</t>
        </is>
      </c>
      <c r="B404" s="1" t="n">
        <v>45582</v>
      </c>
      <c r="C404" s="1" t="n">
        <v>45847</v>
      </c>
      <c r="D404" t="inlineStr">
        <is>
          <t>VÄSTRA GÖTALANDS LÄN</t>
        </is>
      </c>
      <c r="E404" t="inlineStr">
        <is>
          <t>VÄNERSBORG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46523-2024</t>
        </is>
      </c>
      <c r="B405" s="1" t="n">
        <v>45582</v>
      </c>
      <c r="C405" s="1" t="n">
        <v>45847</v>
      </c>
      <c r="D405" t="inlineStr">
        <is>
          <t>VÄSTRA GÖTALANDS LÄN</t>
        </is>
      </c>
      <c r="E405" t="inlineStr">
        <is>
          <t>VÄNERSBORG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46517-2024</t>
        </is>
      </c>
      <c r="B406" s="1" t="n">
        <v>45582</v>
      </c>
      <c r="C406" s="1" t="n">
        <v>45847</v>
      </c>
      <c r="D406" t="inlineStr">
        <is>
          <t>VÄSTRA GÖTALANDS LÄN</t>
        </is>
      </c>
      <c r="E406" t="inlineStr">
        <is>
          <t>VÄNERSBORG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46521-2024</t>
        </is>
      </c>
      <c r="B407" s="1" t="n">
        <v>45582</v>
      </c>
      <c r="C407" s="1" t="n">
        <v>45847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47086-2024</t>
        </is>
      </c>
      <c r="B408" s="1" t="n">
        <v>45586</v>
      </c>
      <c r="C408" s="1" t="n">
        <v>45847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47084-2024</t>
        </is>
      </c>
      <c r="B409" s="1" t="n">
        <v>45586</v>
      </c>
      <c r="C409" s="1" t="n">
        <v>45847</v>
      </c>
      <c r="D409" t="inlineStr">
        <is>
          <t>VÄSTRA GÖTALANDS LÄN</t>
        </is>
      </c>
      <c r="E409" t="inlineStr">
        <is>
          <t>VÄNERSBORG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47079-2024</t>
        </is>
      </c>
      <c r="B410" s="1" t="n">
        <v>45586</v>
      </c>
      <c r="C410" s="1" t="n">
        <v>45847</v>
      </c>
      <c r="D410" t="inlineStr">
        <is>
          <t>VÄSTRA GÖTALANDS LÄN</t>
        </is>
      </c>
      <c r="E410" t="inlineStr">
        <is>
          <t>VÄNERSBORG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47085-2024</t>
        </is>
      </c>
      <c r="B411" s="1" t="n">
        <v>45586</v>
      </c>
      <c r="C411" s="1" t="n">
        <v>45847</v>
      </c>
      <c r="D411" t="inlineStr">
        <is>
          <t>VÄSTRA GÖTALANDS LÄN</t>
        </is>
      </c>
      <c r="E411" t="inlineStr">
        <is>
          <t>VÄNERSBORG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48034-2024</t>
        </is>
      </c>
      <c r="B412" s="1" t="n">
        <v>45589</v>
      </c>
      <c r="C412" s="1" t="n">
        <v>45847</v>
      </c>
      <c r="D412" t="inlineStr">
        <is>
          <t>VÄSTRA GÖTALANDS LÄN</t>
        </is>
      </c>
      <c r="E412" t="inlineStr">
        <is>
          <t>VÄNERSBORG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48161-2024</t>
        </is>
      </c>
      <c r="B413" s="1" t="n">
        <v>45589</v>
      </c>
      <c r="C413" s="1" t="n">
        <v>45847</v>
      </c>
      <c r="D413" t="inlineStr">
        <is>
          <t>VÄSTRA GÖTALANDS LÄN</t>
        </is>
      </c>
      <c r="E413" t="inlineStr">
        <is>
          <t>VÄNERSBORG</t>
        </is>
      </c>
      <c r="G413" t="n">
        <v>42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48163-2024</t>
        </is>
      </c>
      <c r="B414" s="1" t="n">
        <v>45589</v>
      </c>
      <c r="C414" s="1" t="n">
        <v>45847</v>
      </c>
      <c r="D414" t="inlineStr">
        <is>
          <t>VÄSTRA GÖTALANDS LÄN</t>
        </is>
      </c>
      <c r="E414" t="inlineStr">
        <is>
          <t>VÄNERSBORG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48494-2024</t>
        </is>
      </c>
      <c r="B415" s="1" t="n">
        <v>45592</v>
      </c>
      <c r="C415" s="1" t="n">
        <v>45847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48496-2024</t>
        </is>
      </c>
      <c r="B416" s="1" t="n">
        <v>45592</v>
      </c>
      <c r="C416" s="1" t="n">
        <v>45847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49131-2024</t>
        </is>
      </c>
      <c r="B417" s="1" t="n">
        <v>45594</v>
      </c>
      <c r="C417" s="1" t="n">
        <v>45847</v>
      </c>
      <c r="D417" t="inlineStr">
        <is>
          <t>VÄSTRA GÖTALANDS LÄN</t>
        </is>
      </c>
      <c r="E417" t="inlineStr">
        <is>
          <t>VÄNERSBORG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50052-2024</t>
        </is>
      </c>
      <c r="B418" s="1" t="n">
        <v>45600</v>
      </c>
      <c r="C418" s="1" t="n">
        <v>45847</v>
      </c>
      <c r="D418" t="inlineStr">
        <is>
          <t>VÄSTRA GÖTALANDS LÄN</t>
        </is>
      </c>
      <c r="E418" t="inlineStr">
        <is>
          <t>VÄNERSBORG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50939-2024</t>
        </is>
      </c>
      <c r="B419" s="1" t="n">
        <v>45602</v>
      </c>
      <c r="C419" s="1" t="n">
        <v>45847</v>
      </c>
      <c r="D419" t="inlineStr">
        <is>
          <t>VÄSTRA GÖTALANDS LÄN</t>
        </is>
      </c>
      <c r="E419" t="inlineStr">
        <is>
          <t>VÄNERSBORG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51480-2024</t>
        </is>
      </c>
      <c r="B420" s="1" t="n">
        <v>45603</v>
      </c>
      <c r="C420" s="1" t="n">
        <v>45847</v>
      </c>
      <c r="D420" t="inlineStr">
        <is>
          <t>VÄSTRA GÖTALANDS LÄN</t>
        </is>
      </c>
      <c r="E420" t="inlineStr">
        <is>
          <t>VÄNERSBORG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52413-2024</t>
        </is>
      </c>
      <c r="B421" s="1" t="n">
        <v>45609</v>
      </c>
      <c r="C421" s="1" t="n">
        <v>45847</v>
      </c>
      <c r="D421" t="inlineStr">
        <is>
          <t>VÄSTRA GÖTALANDS LÄN</t>
        </is>
      </c>
      <c r="E421" t="inlineStr">
        <is>
          <t>VÄNERSBORG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54166-2024</t>
        </is>
      </c>
      <c r="B422" s="1" t="n">
        <v>45616</v>
      </c>
      <c r="C422" s="1" t="n">
        <v>45847</v>
      </c>
      <c r="D422" t="inlineStr">
        <is>
          <t>VÄSTRA GÖTALANDS LÄN</t>
        </is>
      </c>
      <c r="E422" t="inlineStr">
        <is>
          <t>VÄNERSBORG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56029-2024</t>
        </is>
      </c>
      <c r="B423" s="1" t="n">
        <v>45624</v>
      </c>
      <c r="C423" s="1" t="n">
        <v>45847</v>
      </c>
      <c r="D423" t="inlineStr">
        <is>
          <t>VÄSTRA GÖTALANDS LÄN</t>
        </is>
      </c>
      <c r="E423" t="inlineStr">
        <is>
          <t>VÄNERSBORG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56023-2024</t>
        </is>
      </c>
      <c r="B424" s="1" t="n">
        <v>45624</v>
      </c>
      <c r="C424" s="1" t="n">
        <v>45847</v>
      </c>
      <c r="D424" t="inlineStr">
        <is>
          <t>VÄSTRA GÖTALANDS LÄN</t>
        </is>
      </c>
      <c r="E424" t="inlineStr">
        <is>
          <t>VÄNERSBORG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56480-2024</t>
        </is>
      </c>
      <c r="B425" s="1" t="n">
        <v>45625</v>
      </c>
      <c r="C425" s="1" t="n">
        <v>45847</v>
      </c>
      <c r="D425" t="inlineStr">
        <is>
          <t>VÄSTRA GÖTALANDS LÄN</t>
        </is>
      </c>
      <c r="E425" t="inlineStr">
        <is>
          <t>VÄNERSBORG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57528-2024</t>
        </is>
      </c>
      <c r="B426" s="1" t="n">
        <v>45630</v>
      </c>
      <c r="C426" s="1" t="n">
        <v>45847</v>
      </c>
      <c r="D426" t="inlineStr">
        <is>
          <t>VÄSTRA GÖTALANDS LÄN</t>
        </is>
      </c>
      <c r="E426" t="inlineStr">
        <is>
          <t>VÄNERSBORG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45847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58974-2024</t>
        </is>
      </c>
      <c r="B428" s="1" t="n">
        <v>45636</v>
      </c>
      <c r="C428" s="1" t="n">
        <v>45847</v>
      </c>
      <c r="D428" t="inlineStr">
        <is>
          <t>VÄSTRA GÖTALANDS LÄN</t>
        </is>
      </c>
      <c r="E428" t="inlineStr">
        <is>
          <t>VÄNERSBORG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58840-2024</t>
        </is>
      </c>
      <c r="B429" s="1" t="n">
        <v>45636</v>
      </c>
      <c r="C429" s="1" t="n">
        <v>45847</v>
      </c>
      <c r="D429" t="inlineStr">
        <is>
          <t>VÄSTRA GÖTALANDS LÄN</t>
        </is>
      </c>
      <c r="E429" t="inlineStr">
        <is>
          <t>VÄNERSBORG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59748-2024</t>
        </is>
      </c>
      <c r="B430" s="1" t="n">
        <v>45639</v>
      </c>
      <c r="C430" s="1" t="n">
        <v>45847</v>
      </c>
      <c r="D430" t="inlineStr">
        <is>
          <t>VÄSTRA GÖTALANDS LÄN</t>
        </is>
      </c>
      <c r="E430" t="inlineStr">
        <is>
          <t>VÄNERSBORG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59745-2024</t>
        </is>
      </c>
      <c r="B431" s="1" t="n">
        <v>45639</v>
      </c>
      <c r="C431" s="1" t="n">
        <v>45847</v>
      </c>
      <c r="D431" t="inlineStr">
        <is>
          <t>VÄSTRA GÖTALANDS LÄN</t>
        </is>
      </c>
      <c r="E431" t="inlineStr">
        <is>
          <t>VÄNERSBORG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60273-2024</t>
        </is>
      </c>
      <c r="B432" s="1" t="n">
        <v>45642</v>
      </c>
      <c r="C432" s="1" t="n">
        <v>45847</v>
      </c>
      <c r="D432" t="inlineStr">
        <is>
          <t>VÄSTRA GÖTALANDS LÄN</t>
        </is>
      </c>
      <c r="E432" t="inlineStr">
        <is>
          <t>VÄNERSBORG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61566-2024</t>
        </is>
      </c>
      <c r="B433" s="1" t="n">
        <v>45646</v>
      </c>
      <c r="C433" s="1" t="n">
        <v>45847</v>
      </c>
      <c r="D433" t="inlineStr">
        <is>
          <t>VÄSTRA GÖTALANDS LÄN</t>
        </is>
      </c>
      <c r="E433" t="inlineStr">
        <is>
          <t>VÄNERSBORG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61563-2024</t>
        </is>
      </c>
      <c r="B434" s="1" t="n">
        <v>45646</v>
      </c>
      <c r="C434" s="1" t="n">
        <v>45847</v>
      </c>
      <c r="D434" t="inlineStr">
        <is>
          <t>VÄSTRA GÖTALANDS LÄN</t>
        </is>
      </c>
      <c r="E434" t="inlineStr">
        <is>
          <t>VÄNERSBORG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61731-2024</t>
        </is>
      </c>
      <c r="B435" s="1" t="n">
        <v>45649</v>
      </c>
      <c r="C435" s="1" t="n">
        <v>45847</v>
      </c>
      <c r="D435" t="inlineStr">
        <is>
          <t>VÄSTRA GÖTALANDS LÄN</t>
        </is>
      </c>
      <c r="E435" t="inlineStr">
        <is>
          <t>VÄNERSBORG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258-2025</t>
        </is>
      </c>
      <c r="B436" s="1" t="n">
        <v>45660</v>
      </c>
      <c r="C436" s="1" t="n">
        <v>45847</v>
      </c>
      <c r="D436" t="inlineStr">
        <is>
          <t>VÄSTRA GÖTALANDS LÄN</t>
        </is>
      </c>
      <c r="E436" t="inlineStr">
        <is>
          <t>VÄNERSBORG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1385-2025</t>
        </is>
      </c>
      <c r="B437" s="1" t="n">
        <v>45667</v>
      </c>
      <c r="C437" s="1" t="n">
        <v>45847</v>
      </c>
      <c r="D437" t="inlineStr">
        <is>
          <t>VÄSTRA GÖTALANDS LÄN</t>
        </is>
      </c>
      <c r="E437" t="inlineStr">
        <is>
          <t>VÄNERSBORG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2146-2025</t>
        </is>
      </c>
      <c r="B438" s="1" t="n">
        <v>45672</v>
      </c>
      <c r="C438" s="1" t="n">
        <v>45847</v>
      </c>
      <c r="D438" t="inlineStr">
        <is>
          <t>VÄSTRA GÖTALANDS LÄN</t>
        </is>
      </c>
      <c r="E438" t="inlineStr">
        <is>
          <t>VÄNERSBORG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4039-2025</t>
        </is>
      </c>
      <c r="B439" s="1" t="n">
        <v>45684</v>
      </c>
      <c r="C439" s="1" t="n">
        <v>45847</v>
      </c>
      <c r="D439" t="inlineStr">
        <is>
          <t>VÄSTRA GÖTALANDS LÄN</t>
        </is>
      </c>
      <c r="E439" t="inlineStr">
        <is>
          <t>VÄNERSBORG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4041-2025</t>
        </is>
      </c>
      <c r="B440" s="1" t="n">
        <v>45684</v>
      </c>
      <c r="C440" s="1" t="n">
        <v>45847</v>
      </c>
      <c r="D440" t="inlineStr">
        <is>
          <t>VÄSTRA GÖTALANDS LÄN</t>
        </is>
      </c>
      <c r="E440" t="inlineStr">
        <is>
          <t>VÄNERSBORG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5109-2025</t>
        </is>
      </c>
      <c r="B441" s="1" t="n">
        <v>45691</v>
      </c>
      <c r="C441" s="1" t="n">
        <v>45847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5009-2025</t>
        </is>
      </c>
      <c r="B442" s="1" t="n">
        <v>45691</v>
      </c>
      <c r="C442" s="1" t="n">
        <v>45847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7279-2025</t>
        </is>
      </c>
      <c r="B443" s="1" t="n">
        <v>45702</v>
      </c>
      <c r="C443" s="1" t="n">
        <v>45847</v>
      </c>
      <c r="D443" t="inlineStr">
        <is>
          <t>VÄSTRA GÖTALANDS LÄN</t>
        </is>
      </c>
      <c r="E443" t="inlineStr">
        <is>
          <t>VÄNERSBORG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7243-2025</t>
        </is>
      </c>
      <c r="B444" s="1" t="n">
        <v>45702</v>
      </c>
      <c r="C444" s="1" t="n">
        <v>45847</v>
      </c>
      <c r="D444" t="inlineStr">
        <is>
          <t>VÄSTRA GÖTALANDS LÄN</t>
        </is>
      </c>
      <c r="E444" t="inlineStr">
        <is>
          <t>VÄNERSBORG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8830-2025</t>
        </is>
      </c>
      <c r="B445" s="1" t="n">
        <v>45712</v>
      </c>
      <c r="C445" s="1" t="n">
        <v>45847</v>
      </c>
      <c r="D445" t="inlineStr">
        <is>
          <t>VÄSTRA GÖTALANDS LÄN</t>
        </is>
      </c>
      <c r="E445" t="inlineStr">
        <is>
          <t>VÄNERSBORG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45847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9107-2025</t>
        </is>
      </c>
      <c r="B447" s="1" t="n">
        <v>45713</v>
      </c>
      <c r="C447" s="1" t="n">
        <v>45847</v>
      </c>
      <c r="D447" t="inlineStr">
        <is>
          <t>VÄSTRA GÖTALANDS LÄN</t>
        </is>
      </c>
      <c r="E447" t="inlineStr">
        <is>
          <t>VÄNERSBORG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9105-2025</t>
        </is>
      </c>
      <c r="B448" s="1" t="n">
        <v>45713</v>
      </c>
      <c r="C448" s="1" t="n">
        <v>45847</v>
      </c>
      <c r="D448" t="inlineStr">
        <is>
          <t>VÄSTRA GÖTALANDS LÄN</t>
        </is>
      </c>
      <c r="E448" t="inlineStr">
        <is>
          <t>VÄNERSBORG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45847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10509-2025</t>
        </is>
      </c>
      <c r="B450" s="1" t="n">
        <v>45721</v>
      </c>
      <c r="C450" s="1" t="n">
        <v>45847</v>
      </c>
      <c r="D450" t="inlineStr">
        <is>
          <t>VÄSTRA GÖTALANDS LÄN</t>
        </is>
      </c>
      <c r="E450" t="inlineStr">
        <is>
          <t>VÄNERSBORG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10515-2025</t>
        </is>
      </c>
      <c r="B451" s="1" t="n">
        <v>45721</v>
      </c>
      <c r="C451" s="1" t="n">
        <v>45847</v>
      </c>
      <c r="D451" t="inlineStr">
        <is>
          <t>VÄSTRA GÖTALANDS LÄN</t>
        </is>
      </c>
      <c r="E451" t="inlineStr">
        <is>
          <t>VÄNERSBORG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10765-2025</t>
        </is>
      </c>
      <c r="B452" s="1" t="n">
        <v>45722</v>
      </c>
      <c r="C452" s="1" t="n">
        <v>45847</v>
      </c>
      <c r="D452" t="inlineStr">
        <is>
          <t>VÄSTRA GÖTALANDS LÄN</t>
        </is>
      </c>
      <c r="E452" t="inlineStr">
        <is>
          <t>VÄNERSBORG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45847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45847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11689-2025</t>
        </is>
      </c>
      <c r="B455" s="1" t="n">
        <v>45727</v>
      </c>
      <c r="C455" s="1" t="n">
        <v>45847</v>
      </c>
      <c r="D455" t="inlineStr">
        <is>
          <t>VÄSTRA GÖTALANDS LÄN</t>
        </is>
      </c>
      <c r="E455" t="inlineStr">
        <is>
          <t>VÄNERSBORG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11653-2025</t>
        </is>
      </c>
      <c r="B456" s="1" t="n">
        <v>45727</v>
      </c>
      <c r="C456" s="1" t="n">
        <v>45847</v>
      </c>
      <c r="D456" t="inlineStr">
        <is>
          <t>VÄSTRA GÖTALANDS LÄN</t>
        </is>
      </c>
      <c r="E456" t="inlineStr">
        <is>
          <t>VÄNERSBORG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45847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45847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11883-2025</t>
        </is>
      </c>
      <c r="B459" s="1" t="n">
        <v>45728</v>
      </c>
      <c r="C459" s="1" t="n">
        <v>45847</v>
      </c>
      <c r="D459" t="inlineStr">
        <is>
          <t>VÄSTRA GÖTALANDS LÄN</t>
        </is>
      </c>
      <c r="E459" t="inlineStr">
        <is>
          <t>VÄNERSBORG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11887-2025</t>
        </is>
      </c>
      <c r="B460" s="1" t="n">
        <v>45728</v>
      </c>
      <c r="C460" s="1" t="n">
        <v>45847</v>
      </c>
      <c r="D460" t="inlineStr">
        <is>
          <t>VÄSTRA GÖTALANDS LÄN</t>
        </is>
      </c>
      <c r="E460" t="inlineStr">
        <is>
          <t>VÄNERSBORG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12067-2025</t>
        </is>
      </c>
      <c r="B461" s="1" t="n">
        <v>45728</v>
      </c>
      <c r="C461" s="1" t="n">
        <v>45847</v>
      </c>
      <c r="D461" t="inlineStr">
        <is>
          <t>VÄSTRA GÖTALANDS LÄN</t>
        </is>
      </c>
      <c r="E461" t="inlineStr">
        <is>
          <t>VÄNERSBORG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12385-2025</t>
        </is>
      </c>
      <c r="B462" s="1" t="n">
        <v>45730</v>
      </c>
      <c r="C462" s="1" t="n">
        <v>45847</v>
      </c>
      <c r="D462" t="inlineStr">
        <is>
          <t>VÄSTRA GÖTALANDS LÄN</t>
        </is>
      </c>
      <c r="E462" t="inlineStr">
        <is>
          <t>VÄNERSBORG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12760-2025</t>
        </is>
      </c>
      <c r="B463" s="1" t="n">
        <v>45733</v>
      </c>
      <c r="C463" s="1" t="n">
        <v>45847</v>
      </c>
      <c r="D463" t="inlineStr">
        <is>
          <t>VÄSTRA GÖTALANDS LÄN</t>
        </is>
      </c>
      <c r="E463" t="inlineStr">
        <is>
          <t>VÄNERSBORG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13196-2025</t>
        </is>
      </c>
      <c r="B464" s="1" t="n">
        <v>45735</v>
      </c>
      <c r="C464" s="1" t="n">
        <v>45847</v>
      </c>
      <c r="D464" t="inlineStr">
        <is>
          <t>VÄSTRA GÖTALANDS LÄN</t>
        </is>
      </c>
      <c r="E464" t="inlineStr">
        <is>
          <t>VÄNERSBORG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13666-2025</t>
        </is>
      </c>
      <c r="B465" s="1" t="n">
        <v>45736</v>
      </c>
      <c r="C465" s="1" t="n">
        <v>45847</v>
      </c>
      <c r="D465" t="inlineStr">
        <is>
          <t>VÄSTRA GÖTALANDS LÄN</t>
        </is>
      </c>
      <c r="E465" t="inlineStr">
        <is>
          <t>VÄNERSBORG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13674-2025</t>
        </is>
      </c>
      <c r="B466" s="1" t="n">
        <v>45736</v>
      </c>
      <c r="C466" s="1" t="n">
        <v>45847</v>
      </c>
      <c r="D466" t="inlineStr">
        <is>
          <t>VÄSTRA GÖTALANDS LÄN</t>
        </is>
      </c>
      <c r="E466" t="inlineStr">
        <is>
          <t>VÄNERSBORG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14752-2025</t>
        </is>
      </c>
      <c r="B467" s="1" t="n">
        <v>45742</v>
      </c>
      <c r="C467" s="1" t="n">
        <v>45847</v>
      </c>
      <c r="D467" t="inlineStr">
        <is>
          <t>VÄSTRA GÖTALANDS LÄN</t>
        </is>
      </c>
      <c r="E467" t="inlineStr">
        <is>
          <t>VÄNERSBORG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15067-2025</t>
        </is>
      </c>
      <c r="B468" s="1" t="n">
        <v>45743</v>
      </c>
      <c r="C468" s="1" t="n">
        <v>45847</v>
      </c>
      <c r="D468" t="inlineStr">
        <is>
          <t>VÄSTRA GÖTALANDS LÄN</t>
        </is>
      </c>
      <c r="E468" t="inlineStr">
        <is>
          <t>VÄNERSBORG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15066-2025</t>
        </is>
      </c>
      <c r="B469" s="1" t="n">
        <v>45743</v>
      </c>
      <c r="C469" s="1" t="n">
        <v>45847</v>
      </c>
      <c r="D469" t="inlineStr">
        <is>
          <t>VÄSTRA GÖTALANDS LÄN</t>
        </is>
      </c>
      <c r="E469" t="inlineStr">
        <is>
          <t>VÄNERSBORG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15458-2025</t>
        </is>
      </c>
      <c r="B470" s="1" t="n">
        <v>45747</v>
      </c>
      <c r="C470" s="1" t="n">
        <v>45847</v>
      </c>
      <c r="D470" t="inlineStr">
        <is>
          <t>VÄSTRA GÖTALANDS LÄN</t>
        </is>
      </c>
      <c r="E470" t="inlineStr">
        <is>
          <t>VÄNERSBORG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15602-2025</t>
        </is>
      </c>
      <c r="B471" s="1" t="n">
        <v>45748</v>
      </c>
      <c r="C471" s="1" t="n">
        <v>45847</v>
      </c>
      <c r="D471" t="inlineStr">
        <is>
          <t>VÄSTRA GÖTALANDS LÄN</t>
        </is>
      </c>
      <c r="E471" t="inlineStr">
        <is>
          <t>VÄNERSBORG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16099-2025</t>
        </is>
      </c>
      <c r="B472" s="1" t="n">
        <v>45750</v>
      </c>
      <c r="C472" s="1" t="n">
        <v>45847</v>
      </c>
      <c r="D472" t="inlineStr">
        <is>
          <t>VÄSTRA GÖTALANDS LÄN</t>
        </is>
      </c>
      <c r="E472" t="inlineStr">
        <is>
          <t>VÄNERSBORG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16452-2025</t>
        </is>
      </c>
      <c r="B473" s="1" t="n">
        <v>45751</v>
      </c>
      <c r="C473" s="1" t="n">
        <v>45847</v>
      </c>
      <c r="D473" t="inlineStr">
        <is>
          <t>VÄSTRA GÖTALANDS LÄN</t>
        </is>
      </c>
      <c r="E473" t="inlineStr">
        <is>
          <t>VÄNERSBORG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18855-2025</t>
        </is>
      </c>
      <c r="B474" s="1" t="n">
        <v>45764</v>
      </c>
      <c r="C474" s="1" t="n">
        <v>45847</v>
      </c>
      <c r="D474" t="inlineStr">
        <is>
          <t>VÄSTRA GÖTALANDS LÄN</t>
        </is>
      </c>
      <c r="E474" t="inlineStr">
        <is>
          <t>VÄNERSBORG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19133-2025</t>
        </is>
      </c>
      <c r="B475" s="1" t="n">
        <v>45764</v>
      </c>
      <c r="C475" s="1" t="n">
        <v>45847</v>
      </c>
      <c r="D475" t="inlineStr">
        <is>
          <t>VÄSTRA GÖTALANDS LÄN</t>
        </is>
      </c>
      <c r="E475" t="inlineStr">
        <is>
          <t>VÄNERSBORG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21096-2025</t>
        </is>
      </c>
      <c r="B476" s="1" t="n">
        <v>45777</v>
      </c>
      <c r="C476" s="1" t="n">
        <v>45847</v>
      </c>
      <c r="D476" t="inlineStr">
        <is>
          <t>VÄSTRA GÖTALANDS LÄN</t>
        </is>
      </c>
      <c r="E476" t="inlineStr">
        <is>
          <t>VÄNERSBORG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22326-2025</t>
        </is>
      </c>
      <c r="B477" s="1" t="n">
        <v>45786</v>
      </c>
      <c r="C477" s="1" t="n">
        <v>45847</v>
      </c>
      <c r="D477" t="inlineStr">
        <is>
          <t>VÄSTRA GÖTALANDS LÄN</t>
        </is>
      </c>
      <c r="E477" t="inlineStr">
        <is>
          <t>VÄNERSBORG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23060-2025</t>
        </is>
      </c>
      <c r="B478" s="1" t="n">
        <v>45790</v>
      </c>
      <c r="C478" s="1" t="n">
        <v>45847</v>
      </c>
      <c r="D478" t="inlineStr">
        <is>
          <t>VÄSTRA GÖTALANDS LÄN</t>
        </is>
      </c>
      <c r="E478" t="inlineStr">
        <is>
          <t>VÄNERSBORG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45847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45847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24567-2025</t>
        </is>
      </c>
      <c r="B481" s="1" t="n">
        <v>45798</v>
      </c>
      <c r="C481" s="1" t="n">
        <v>45847</v>
      </c>
      <c r="D481" t="inlineStr">
        <is>
          <t>VÄSTRA GÖTALANDS LÄN</t>
        </is>
      </c>
      <c r="E481" t="inlineStr">
        <is>
          <t>VÄNERSBORG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45847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45847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45847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45847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24832-2025</t>
        </is>
      </c>
      <c r="B486" s="1" t="n">
        <v>45799</v>
      </c>
      <c r="C486" s="1" t="n">
        <v>45847</v>
      </c>
      <c r="D486" t="inlineStr">
        <is>
          <t>VÄSTRA GÖTALANDS LÄN</t>
        </is>
      </c>
      <c r="E486" t="inlineStr">
        <is>
          <t>VÄNERSBORG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25575-2025</t>
        </is>
      </c>
      <c r="B487" s="1" t="n">
        <v>45803</v>
      </c>
      <c r="C487" s="1" t="n">
        <v>45847</v>
      </c>
      <c r="D487" t="inlineStr">
        <is>
          <t>VÄSTRA GÖTALANDS LÄN</t>
        </is>
      </c>
      <c r="E487" t="inlineStr">
        <is>
          <t>VÄNERSBORG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26025-2025</t>
        </is>
      </c>
      <c r="B488" s="1" t="n">
        <v>45804</v>
      </c>
      <c r="C488" s="1" t="n">
        <v>45847</v>
      </c>
      <c r="D488" t="inlineStr">
        <is>
          <t>VÄSTRA GÖTALANDS LÄN</t>
        </is>
      </c>
      <c r="E488" t="inlineStr">
        <is>
          <t>VÄNERSBORG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26247-2025</t>
        </is>
      </c>
      <c r="B489" s="1" t="n">
        <v>45805</v>
      </c>
      <c r="C489" s="1" t="n">
        <v>45847</v>
      </c>
      <c r="D489" t="inlineStr">
        <is>
          <t>VÄSTRA GÖTALANDS LÄN</t>
        </is>
      </c>
      <c r="E489" t="inlineStr">
        <is>
          <t>VÄNERSBORG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27031-2025</t>
        </is>
      </c>
      <c r="B490" s="1" t="n">
        <v>45811</v>
      </c>
      <c r="C490" s="1" t="n">
        <v>45847</v>
      </c>
      <c r="D490" t="inlineStr">
        <is>
          <t>VÄSTRA GÖTALANDS LÄN</t>
        </is>
      </c>
      <c r="E490" t="inlineStr">
        <is>
          <t>VÄNERSBORG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27867-2025</t>
        </is>
      </c>
      <c r="B491" s="1" t="n">
        <v>45817</v>
      </c>
      <c r="C491" s="1" t="n">
        <v>45847</v>
      </c>
      <c r="D491" t="inlineStr">
        <is>
          <t>VÄSTRA GÖTALANDS LÄN</t>
        </is>
      </c>
      <c r="E491" t="inlineStr">
        <is>
          <t>VÄNERSBORG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45847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45847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45847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45847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45847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45847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45847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30621-2025</t>
        </is>
      </c>
      <c r="B499" s="1" t="n">
        <v>45831</v>
      </c>
      <c r="C499" s="1" t="n">
        <v>45847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32666-2025</t>
        </is>
      </c>
      <c r="B500" s="1" t="n">
        <v>45838</v>
      </c>
      <c r="C500" s="1" t="n">
        <v>45847</v>
      </c>
      <c r="D500" t="inlineStr">
        <is>
          <t>VÄSTRA GÖTALANDS LÄN</t>
        </is>
      </c>
      <c r="E500" t="inlineStr">
        <is>
          <t>VÄNERSBORG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2025-07-09T20:38:37Z</dcterms:created>
  <dcterms:modified xmlns:dcterms="http://purl.org/dc/terms/" xmlns:xsi="http://www.w3.org/2001/XMLSchema-instance" xsi:type="dcterms:W3CDTF">2025-07-09T20:38:37Z</dcterms:modified>
</cp:coreProperties>
</file>