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2324-2020</t>
        </is>
      </c>
      <c r="B2" t="inlineStr">
        <is>
          <t>samrådsanmälan</t>
        </is>
      </c>
      <c r="C2" t="n">
        <v/>
      </c>
      <c r="D2" s="1" t="n">
        <v>44137</v>
      </c>
      <c r="E2" s="1" t="n">
        <v>46307</v>
      </c>
      <c r="F2" t="inlineStr">
        <is>
          <t>VÄSTRA GÖTALANDS LÄN</t>
        </is>
      </c>
      <c r="G2" t="inlineStr">
        <is>
          <t>VÄNERSBORG</t>
        </is>
      </c>
      <c r="H2" t="inlineStr">
        <is>
          <t>Kommuner</t>
        </is>
      </c>
      <c r="I2" t="n">
        <v>2.6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5</v>
      </c>
      <c r="T2" t="n">
        <v>9</v>
      </c>
      <c r="U2" t="n">
        <v>2</v>
      </c>
      <c r="V2" s="2" t="inlineStr">
        <is>
          <t>Mindre hackspett
Skogssvingel
Svart trolldruva
Vätteros
Blåsippa</t>
        </is>
      </c>
      <c r="W2">
        <f>HYPERLINK("https://klasma.github.io/Logging_1487/artfynd/S 2324-2020 artfynd.xlsx", "S 2324-2020")</f>
        <v/>
      </c>
      <c r="X2">
        <f>HYPERLINK("https://klasma.github.io/Logging_1487/kartor/S 2324-2020 karta.png", "S 2324-2020")</f>
        <v/>
      </c>
      <c r="Y2">
        <f>HYPERLINK("https://klasma.github.io/Logging_1487/kartor_geotiff/S 2324-2020 georefererad karta.tif", "S 2324-2020")</f>
        <v/>
      </c>
      <c r="AA2">
        <f>HYPERLINK("https://klasma.github.io/Logging_1487/klagomål/S 2324-2020 FSC-klagomål.docx", "S 2324-2020")</f>
        <v/>
      </c>
      <c r="AB2">
        <f>HYPERLINK("https://klasma.github.io/Logging_1487/klagomålsmail/S 2324-2020 FSC-klagomål mail.docx", "S 2324-2020")</f>
        <v/>
      </c>
      <c r="AC2">
        <f>HYPERLINK("https://klasma.github.io/Logging_1487/tillsyn/S 2324-2020 tillsynsbegäran.docx", "S 2324-2020")</f>
        <v/>
      </c>
      <c r="AD2">
        <f>HYPERLINK("https://klasma.github.io/Logging_1487/tillsynsmail/S 2324-2020 tillsynsbegäran mail.docx", "S 2324-2020")</f>
        <v/>
      </c>
      <c r="AE2">
        <f>HYPERLINK("https://klasma.github.io/Logging_1487/fåglar/S 2324-2020 prioriterade fågelarter.docx", "S 2324-2020")</f>
        <v/>
      </c>
    </row>
    <row r="3" ht="15" customHeight="1">
      <c r="A3" t="inlineStr">
        <is>
          <t>A 18152-2022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44684</v>
      </c>
      <c r="E3" s="1" t="n">
        <v>46307</v>
      </c>
      <c r="F3" t="inlineStr">
        <is>
          <t>VÄSTRA GÖTALANDS LÄN</t>
        </is>
      </c>
      <c r="G3" t="inlineStr">
        <is>
          <t>VÄNERSBORG</t>
        </is>
      </c>
      <c r="I3" t="n">
        <v>1.5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3</v>
      </c>
      <c r="T3" t="n">
        <v>3</v>
      </c>
      <c r="U3" t="n">
        <v>0</v>
      </c>
      <c r="V3" s="2" t="inlineStr">
        <is>
          <t>Skogssvingel
Slåtterfibbla
Sårläka</t>
        </is>
      </c>
      <c r="W3">
        <f>HYPERLINK("https://klasma.github.io/Logging_1487/artfynd/A 18152-2022 artfynd.xlsx", "A 18152-2022")</f>
        <v/>
      </c>
      <c r="X3">
        <f>HYPERLINK("https://klasma.github.io/Logging_1487/kartor/A 18152-2022 karta.png", "A 18152-2022")</f>
        <v/>
      </c>
      <c r="Y3">
        <f>HYPERLINK("https://klasma.github.io/Logging_1487/kartor_geotiff/A 18152-2022 georefererad karta.tif", "A 18152-2022")</f>
        <v/>
      </c>
      <c r="AA3">
        <f>HYPERLINK("https://klasma.github.io/Logging_1487/klagomål/A 18152-2022 FSC-klagomål.docx", "A 18152-2022")</f>
        <v/>
      </c>
      <c r="AB3">
        <f>HYPERLINK("https://klasma.github.io/Logging_1487/klagomålsmail/A 18152-2022 FSC-klagomål mail.docx", "A 18152-2022")</f>
        <v/>
      </c>
      <c r="AC3">
        <f>HYPERLINK("https://klasma.github.io/Logging_1487/tillsyn/A 18152-2022 tillsynsbegäran.docx", "A 18152-2022")</f>
        <v/>
      </c>
      <c r="AD3">
        <f>HYPERLINK("https://klasma.github.io/Logging_1487/tillsynsmail/A 18152-2022 tillsynsbegäran mail.docx", "A 18152-2022")</f>
        <v/>
      </c>
    </row>
    <row r="4" ht="15" customHeight="1">
      <c r="A4" t="inlineStr">
        <is>
          <t>A 31985-2025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45835</v>
      </c>
      <c r="E4" s="1" t="n">
        <v>46307</v>
      </c>
      <c r="F4" t="inlineStr">
        <is>
          <t>VÄSTRA GÖTALANDS LÄN</t>
        </is>
      </c>
      <c r="G4" t="inlineStr">
        <is>
          <t>VÄNERSBORG</t>
        </is>
      </c>
      <c r="I4" t="n">
        <v>16.8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4</v>
      </c>
      <c r="U4" t="n">
        <v>2</v>
      </c>
      <c r="V4" s="2" t="inlineStr">
        <is>
          <t>Fällmossa
Vätteros
Gullviva</t>
        </is>
      </c>
      <c r="W4">
        <f>HYPERLINK("https://klasma.github.io/Logging_1487/artfynd/A 31985-2025 artfynd.xlsx", "A 31985-2025")</f>
        <v/>
      </c>
      <c r="X4">
        <f>HYPERLINK("https://klasma.github.io/Logging_1487/kartor/A 31985-2025 karta.png", "A 31985-2025")</f>
        <v/>
      </c>
      <c r="Y4">
        <f>HYPERLINK("https://klasma.github.io/Logging_1487/kartor_geotiff/A 31985-2025 georefererad karta.tif", "A 31985-2025")</f>
        <v/>
      </c>
      <c r="AA4">
        <f>HYPERLINK("https://klasma.github.io/Logging_1487/klagomål/A 31985-2025 FSC-klagomål.docx", "A 31985-2025")</f>
        <v/>
      </c>
      <c r="AB4">
        <f>HYPERLINK("https://klasma.github.io/Logging_1487/klagomålsmail/A 31985-2025 FSC-klagomål mail.docx", "A 31985-2025")</f>
        <v/>
      </c>
      <c r="AC4">
        <f>HYPERLINK("https://klasma.github.io/Logging_1487/tillsyn/A 31985-2025 tillsynsbegäran.docx", "A 31985-2025")</f>
        <v/>
      </c>
      <c r="AD4">
        <f>HYPERLINK("https://klasma.github.io/Logging_1487/tillsynsmail/A 31985-2025 tillsynsbegäran mail.docx", "A 31985-2025")</f>
        <v/>
      </c>
    </row>
    <row r="5" ht="15" customHeight="1">
      <c r="A5" t="inlineStr">
        <is>
          <t>A 29369-2022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44753</v>
      </c>
      <c r="E5" s="1" t="n">
        <v>46307</v>
      </c>
      <c r="F5" t="inlineStr">
        <is>
          <t>VÄSTRA GÖTALANDS LÄN</t>
        </is>
      </c>
      <c r="G5" t="inlineStr">
        <is>
          <t>VÄNERSBORG</t>
        </is>
      </c>
      <c r="H5" t="inlineStr">
        <is>
          <t>Sveaskog</t>
        </is>
      </c>
      <c r="I5" t="n">
        <v>9.9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Blåmossa
Kambräken</t>
        </is>
      </c>
      <c r="W5">
        <f>HYPERLINK("https://klasma.github.io/Logging_1487/artfynd/A 29369-2022 artfynd.xlsx", "A 29369-2022")</f>
        <v/>
      </c>
      <c r="X5">
        <f>HYPERLINK("https://klasma.github.io/Logging_1487/kartor/A 29369-2022 karta.png", "A 29369-2022")</f>
        <v/>
      </c>
      <c r="Y5">
        <f>HYPERLINK("https://klasma.github.io/Logging_1487/kartor_geotiff/A 29369-2022 georefererad karta.tif", "A 29369-2022")</f>
        <v/>
      </c>
      <c r="AA5">
        <f>HYPERLINK("https://klasma.github.io/Logging_1487/klagomål/A 29369-2022 FSC-klagomål.docx", "A 29369-2022")</f>
        <v/>
      </c>
      <c r="AB5">
        <f>HYPERLINK("https://klasma.github.io/Logging_1487/klagomålsmail/A 29369-2022 FSC-klagomål mail.docx", "A 29369-2022")</f>
        <v/>
      </c>
      <c r="AC5">
        <f>HYPERLINK("https://klasma.github.io/Logging_1487/tillsyn/A 29369-2022 tillsynsbegäran.docx", "A 29369-2022")</f>
        <v/>
      </c>
      <c r="AD5">
        <f>HYPERLINK("https://klasma.github.io/Logging_1487/tillsynsmail/A 29369-2022 tillsynsbegäran mail.docx", "A 29369-2022")</f>
        <v/>
      </c>
    </row>
    <row r="6" ht="15" customHeight="1">
      <c r="A6" t="inlineStr">
        <is>
          <t>A 14752-2025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45742</v>
      </c>
      <c r="E6" s="1" t="n">
        <v>46307</v>
      </c>
      <c r="F6" t="inlineStr">
        <is>
          <t>VÄSTRA GÖTALANDS LÄN</t>
        </is>
      </c>
      <c r="G6" t="inlineStr">
        <is>
          <t>VÄNERSBORG</t>
        </is>
      </c>
      <c r="I6" t="n">
        <v>0.9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2</v>
      </c>
      <c r="T6" t="n">
        <v>2</v>
      </c>
      <c r="U6" t="n">
        <v>0</v>
      </c>
      <c r="V6" s="2" t="inlineStr">
        <is>
          <t>Slåtterfibbla
Svinrot</t>
        </is>
      </c>
      <c r="W6">
        <f>HYPERLINK("https://klasma.github.io/Logging_1487/artfynd/A 14752-2025 artfynd.xlsx", "A 14752-2025")</f>
        <v/>
      </c>
      <c r="X6">
        <f>HYPERLINK("https://klasma.github.io/Logging_1487/kartor/A 14752-2025 karta.png", "A 14752-2025")</f>
        <v/>
      </c>
      <c r="Y6">
        <f>HYPERLINK("https://klasma.github.io/Logging_1487/kartor_geotiff/A 14752-2025 georefererad karta.tif", "A 14752-2025")</f>
        <v/>
      </c>
      <c r="AA6">
        <f>HYPERLINK("https://klasma.github.io/Logging_1487/klagomål/A 14752-2025 FSC-klagomål.docx", "A 14752-2025")</f>
        <v/>
      </c>
      <c r="AB6">
        <f>HYPERLINK("https://klasma.github.io/Logging_1487/klagomålsmail/A 14752-2025 FSC-klagomål mail.docx", "A 14752-2025")</f>
        <v/>
      </c>
      <c r="AC6">
        <f>HYPERLINK("https://klasma.github.io/Logging_1487/tillsyn/A 14752-2025 tillsynsbegäran.docx", "A 14752-2025")</f>
        <v/>
      </c>
      <c r="AD6">
        <f>HYPERLINK("https://klasma.github.io/Logging_1487/tillsynsmail/A 14752-2025 tillsynsbegäran mail.docx", "A 14752-2025")</f>
        <v/>
      </c>
    </row>
    <row r="7" ht="15" customHeight="1">
      <c r="A7" t="inlineStr">
        <is>
          <t>A 32666-2025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45838</v>
      </c>
      <c r="E7" s="1" t="n">
        <v>46307</v>
      </c>
      <c r="F7" t="inlineStr">
        <is>
          <t>VÄSTRA GÖTALANDS LÄN</t>
        </is>
      </c>
      <c r="G7" t="inlineStr">
        <is>
          <t>VÄNERSBORG</t>
        </is>
      </c>
      <c r="I7" t="n">
        <v>0.4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2</v>
      </c>
      <c r="V7" s="2" t="inlineStr">
        <is>
          <t>Fällmossa
Guldlockmossa</t>
        </is>
      </c>
      <c r="W7">
        <f>HYPERLINK("https://klasma.github.io/Logging_1487/artfynd/A 32666-2025 artfynd.xlsx", "A 32666-2025")</f>
        <v/>
      </c>
      <c r="X7">
        <f>HYPERLINK("https://klasma.github.io/Logging_1487/kartor/A 32666-2025 karta.png", "A 32666-2025")</f>
        <v/>
      </c>
      <c r="Y7">
        <f>HYPERLINK("https://klasma.github.io/Logging_1487/kartor_geotiff/A 32666-2025 georefererad karta.tif", "A 32666-2025")</f>
        <v/>
      </c>
      <c r="AA7">
        <f>HYPERLINK("https://klasma.github.io/Logging_1487/klagomål/A 32666-2025 FSC-klagomål.docx", "A 32666-2025")</f>
        <v/>
      </c>
      <c r="AB7">
        <f>HYPERLINK("https://klasma.github.io/Logging_1487/klagomålsmail/A 32666-2025 FSC-klagomål mail.docx", "A 32666-2025")</f>
        <v/>
      </c>
      <c r="AC7">
        <f>HYPERLINK("https://klasma.github.io/Logging_1487/tillsyn/A 32666-2025 tillsynsbegäran.docx", "A 32666-2025")</f>
        <v/>
      </c>
      <c r="AD7">
        <f>HYPERLINK("https://klasma.github.io/Logging_1487/tillsynsmail/A 32666-2025 tillsynsbegäran mail.docx", "A 32666-2025")</f>
        <v/>
      </c>
    </row>
    <row r="8" ht="15" customHeight="1">
      <c r="A8" t="inlineStr">
        <is>
          <t>A 17932-2023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45040</v>
      </c>
      <c r="E8" s="1" t="n">
        <v>46307</v>
      </c>
      <c r="F8" t="inlineStr">
        <is>
          <t>VÄSTRA GÖTALANDS LÄN</t>
        </is>
      </c>
      <c r="G8" t="inlineStr">
        <is>
          <t>VÄNERSBORG</t>
        </is>
      </c>
      <c r="I8" t="n">
        <v>0.6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3</v>
      </c>
      <c r="U8" t="n">
        <v>3</v>
      </c>
      <c r="V8" s="2" t="inlineStr">
        <is>
          <t>Skogsknipprot
Blåsippa</t>
        </is>
      </c>
      <c r="W8">
        <f>HYPERLINK("https://klasma.github.io/Logging_1487/artfynd/A 17932-2023 artfynd.xlsx", "A 17932-2023")</f>
        <v/>
      </c>
      <c r="X8">
        <f>HYPERLINK("https://klasma.github.io/Logging_1487/kartor/A 17932-2023 karta.png", "A 17932-2023")</f>
        <v/>
      </c>
      <c r="Y8">
        <f>HYPERLINK("https://klasma.github.io/Logging_1487/kartor_geotiff/A 17932-2023 georefererad karta.tif", "A 17932-2023")</f>
        <v/>
      </c>
      <c r="AA8">
        <f>HYPERLINK("https://klasma.github.io/Logging_1487/klagomål/A 17932-2023 FSC-klagomål.docx", "A 17932-2023")</f>
        <v/>
      </c>
      <c r="AB8">
        <f>HYPERLINK("https://klasma.github.io/Logging_1487/klagomålsmail/A 17932-2023 FSC-klagomål mail.docx", "A 17932-2023")</f>
        <v/>
      </c>
      <c r="AC8">
        <f>HYPERLINK("https://klasma.github.io/Logging_1487/tillsyn/A 17932-2023 tillsynsbegäran.docx", "A 17932-2023")</f>
        <v/>
      </c>
      <c r="AD8">
        <f>HYPERLINK("https://klasma.github.io/Logging_1487/tillsynsmail/A 17932-2023 tillsynsbegäran mail.docx", "A 17932-2023")</f>
        <v/>
      </c>
    </row>
    <row r="9" ht="15" customHeight="1">
      <c r="A9" t="inlineStr">
        <is>
          <t>A 29375-2022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44753</v>
      </c>
      <c r="E9" s="1" t="n">
        <v>46307</v>
      </c>
      <c r="F9" t="inlineStr">
        <is>
          <t>VÄSTRA GÖTALANDS LÄN</t>
        </is>
      </c>
      <c r="G9" t="inlineStr">
        <is>
          <t>VÄNERSBORG</t>
        </is>
      </c>
      <c r="H9" t="inlineStr">
        <is>
          <t>Sveaskog</t>
        </is>
      </c>
      <c r="I9" t="n">
        <v>4.6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</v>
      </c>
      <c r="V9" s="2" t="inlineStr">
        <is>
          <t>Purpurknipprot</t>
        </is>
      </c>
      <c r="W9">
        <f>HYPERLINK("https://klasma.github.io/Logging_1487/artfynd/A 29375-2022 artfynd.xlsx", "A 29375-2022")</f>
        <v/>
      </c>
      <c r="X9">
        <f>HYPERLINK("https://klasma.github.io/Logging_1487/kartor/A 29375-2022 karta.png", "A 29375-2022")</f>
        <v/>
      </c>
      <c r="Y9">
        <f>HYPERLINK("https://klasma.github.io/Logging_1487/kartor_geotiff/A 29375-2022 georefererad karta.tif", "A 29375-2022")</f>
        <v/>
      </c>
      <c r="AA9">
        <f>HYPERLINK("https://klasma.github.io/Logging_1487/klagomål/A 29375-2022 FSC-klagomål.docx", "A 29375-2022")</f>
        <v/>
      </c>
      <c r="AB9">
        <f>HYPERLINK("https://klasma.github.io/Logging_1487/klagomålsmail/A 29375-2022 FSC-klagomål mail.docx", "A 29375-2022")</f>
        <v/>
      </c>
      <c r="AC9">
        <f>HYPERLINK("https://klasma.github.io/Logging_1487/tillsyn/A 29375-2022 tillsynsbegäran.docx", "A 29375-2022")</f>
        <v/>
      </c>
      <c r="AD9">
        <f>HYPERLINK("https://klasma.github.io/Logging_1487/tillsynsmail/A 29375-2022 tillsynsbegäran mail.docx", "A 29375-2022")</f>
        <v/>
      </c>
    </row>
    <row r="10" ht="15" customHeight="1">
      <c r="A10" t="inlineStr">
        <is>
          <t>A 29376-2022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44753</v>
      </c>
      <c r="E10" s="1" t="n">
        <v>46307</v>
      </c>
      <c r="F10" t="inlineStr">
        <is>
          <t>VÄSTRA GÖTALANDS LÄN</t>
        </is>
      </c>
      <c r="G10" t="inlineStr">
        <is>
          <t>VÄNERSBORG</t>
        </is>
      </c>
      <c r="H10" t="inlineStr">
        <is>
          <t>Sveaskog</t>
        </is>
      </c>
      <c r="I10" t="n">
        <v>8.300000000000001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</v>
      </c>
      <c r="V10" s="2" t="inlineStr">
        <is>
          <t>Revlummer</t>
        </is>
      </c>
      <c r="W10">
        <f>HYPERLINK("https://klasma.github.io/Logging_1487/artfynd/A 29376-2022 artfynd.xlsx", "A 29376-2022")</f>
        <v/>
      </c>
      <c r="X10">
        <f>HYPERLINK("https://klasma.github.io/Logging_1487/kartor/A 29376-2022 karta.png", "A 29376-2022")</f>
        <v/>
      </c>
      <c r="Y10">
        <f>HYPERLINK("https://klasma.github.io/Logging_1487/kartor_geotiff/A 29376-2022 georefererad karta.tif", "A 29376-2022")</f>
        <v/>
      </c>
      <c r="AA10">
        <f>HYPERLINK("https://klasma.github.io/Logging_1487/klagomål/A 29376-2022 FSC-klagomål.docx", "A 29376-2022")</f>
        <v/>
      </c>
      <c r="AB10">
        <f>HYPERLINK("https://klasma.github.io/Logging_1487/klagomålsmail/A 29376-2022 FSC-klagomål mail.docx", "A 29376-2022")</f>
        <v/>
      </c>
      <c r="AC10">
        <f>HYPERLINK("https://klasma.github.io/Logging_1487/tillsyn/A 29376-2022 tillsynsbegäran.docx", "A 29376-2022")</f>
        <v/>
      </c>
      <c r="AD10">
        <f>HYPERLINK("https://klasma.github.io/Logging_1487/tillsynsmail/A 29376-2022 tillsynsbegäran mail.docx", "A 29376-2022")</f>
        <v/>
      </c>
    </row>
    <row r="11" ht="15" customHeight="1">
      <c r="A11" t="inlineStr">
        <is>
          <t>A 56739-2023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45244</v>
      </c>
      <c r="E11" s="1" t="n">
        <v>46307</v>
      </c>
      <c r="F11" t="inlineStr">
        <is>
          <t>VÄSTRA GÖTALANDS LÄN</t>
        </is>
      </c>
      <c r="G11" t="inlineStr">
        <is>
          <t>VÄNERSBORG</t>
        </is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Svinrot</t>
        </is>
      </c>
      <c r="W11">
        <f>HYPERLINK("https://klasma.github.io/Logging_1487/artfynd/A 56739-2023 artfynd.xlsx", "A 56739-2023")</f>
        <v/>
      </c>
      <c r="X11">
        <f>HYPERLINK("https://klasma.github.io/Logging_1487/kartor/A 56739-2023 karta.png", "A 56739-2023")</f>
        <v/>
      </c>
      <c r="Y11">
        <f>HYPERLINK("https://klasma.github.io/Logging_1487/kartor_geotiff/A 56739-2023 georefererad karta.tif", "A 56739-2023")</f>
        <v/>
      </c>
      <c r="AA11">
        <f>HYPERLINK("https://klasma.github.io/Logging_1487/klagomål/A 56739-2023 FSC-klagomål.docx", "A 56739-2023")</f>
        <v/>
      </c>
      <c r="AB11">
        <f>HYPERLINK("https://klasma.github.io/Logging_1487/klagomålsmail/A 56739-2023 FSC-klagomål mail.docx", "A 56739-2023")</f>
        <v/>
      </c>
      <c r="AC11">
        <f>HYPERLINK("https://klasma.github.io/Logging_1487/tillsyn/A 56739-2023 tillsynsbegäran.docx", "A 56739-2023")</f>
        <v/>
      </c>
      <c r="AD11">
        <f>HYPERLINK("https://klasma.github.io/Logging_1487/tillsynsmail/A 56739-2023 tillsynsbegäran mail.docx", "A 56739-2023")</f>
        <v/>
      </c>
    </row>
    <row r="12" ht="15" customHeight="1">
      <c r="A12" t="inlineStr">
        <is>
          <t>A 17920-2023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45040</v>
      </c>
      <c r="E12" s="1" t="n">
        <v>46307</v>
      </c>
      <c r="F12" t="inlineStr">
        <is>
          <t>VÄSTRA GÖTALANDS LÄN</t>
        </is>
      </c>
      <c r="G12" t="inlineStr">
        <is>
          <t>VÄNERSBORG</t>
        </is>
      </c>
      <c r="I12" t="n">
        <v>1.2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Vanlig padda</t>
        </is>
      </c>
      <c r="W12">
        <f>HYPERLINK("https://klasma.github.io/Logging_1487/artfynd/A 17920-2023 artfynd.xlsx", "A 17920-2023")</f>
        <v/>
      </c>
      <c r="X12">
        <f>HYPERLINK("https://klasma.github.io/Logging_1487/kartor/A 17920-2023 karta.png", "A 17920-2023")</f>
        <v/>
      </c>
      <c r="Y12">
        <f>HYPERLINK("https://klasma.github.io/Logging_1487/kartor_geotiff/A 17920-2023 georefererad karta.tif", "A 17920-2023")</f>
        <v/>
      </c>
      <c r="AA12">
        <f>HYPERLINK("https://klasma.github.io/Logging_1487/klagomål/A 17920-2023 FSC-klagomål.docx", "A 17920-2023")</f>
        <v/>
      </c>
      <c r="AB12">
        <f>HYPERLINK("https://klasma.github.io/Logging_1487/klagomålsmail/A 17920-2023 FSC-klagomål mail.docx", "A 17920-2023")</f>
        <v/>
      </c>
      <c r="AC12">
        <f>HYPERLINK("https://klasma.github.io/Logging_1487/tillsyn/A 17920-2023 tillsynsbegäran.docx", "A 17920-2023")</f>
        <v/>
      </c>
      <c r="AD12">
        <f>HYPERLINK("https://klasma.github.io/Logging_1487/tillsynsmail/A 17920-2023 tillsynsbegäran mail.docx", "A 17920-2023")</f>
        <v/>
      </c>
    </row>
    <row r="13" ht="15" customHeight="1">
      <c r="A13" t="inlineStr">
        <is>
          <t>A 5009-2025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45691</v>
      </c>
      <c r="E13" s="1" t="n">
        <v>46307</v>
      </c>
      <c r="F13" t="inlineStr">
        <is>
          <t>VÄSTRA GÖTALANDS LÄN</t>
        </is>
      </c>
      <c r="G13" t="inlineStr">
        <is>
          <t>VÄNERSBORG</t>
        </is>
      </c>
      <c r="I13" t="n">
        <v>1.8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Ljungpipare</t>
        </is>
      </c>
      <c r="W13">
        <f>HYPERLINK("https://klasma.github.io/Logging_1487/artfynd/A 5009-2025 artfynd.xlsx", "A 5009-2025")</f>
        <v/>
      </c>
      <c r="X13">
        <f>HYPERLINK("https://klasma.github.io/Logging_1487/kartor/A 5009-2025 karta.png", "A 5009-2025")</f>
        <v/>
      </c>
      <c r="Y13">
        <f>HYPERLINK("https://klasma.github.io/Logging_1487/kartor_geotiff/A 5009-2025 georefererad karta.tif", "A 5009-2025")</f>
        <v/>
      </c>
      <c r="AA13">
        <f>HYPERLINK("https://klasma.github.io/Logging_1487/klagomål/A 5009-2025 FSC-klagomål.docx", "A 5009-2025")</f>
        <v/>
      </c>
      <c r="AB13">
        <f>HYPERLINK("https://klasma.github.io/Logging_1487/klagomålsmail/A 5009-2025 FSC-klagomål mail.docx", "A 5009-2025")</f>
        <v/>
      </c>
      <c r="AC13">
        <f>HYPERLINK("https://klasma.github.io/Logging_1487/tillsyn/A 5009-2025 tillsynsbegäran.docx", "A 5009-2025")</f>
        <v/>
      </c>
      <c r="AD13">
        <f>HYPERLINK("https://klasma.github.io/Logging_1487/tillsynsmail/A 5009-2025 tillsynsbegäran mail.docx", "A 5009-2025")</f>
        <v/>
      </c>
      <c r="AE13">
        <f>HYPERLINK("https://klasma.github.io/Logging_1487/fåglar/A 5009-2025 prioriterade fågelarter.docx", "A 5009-2025")</f>
        <v/>
      </c>
    </row>
    <row r="14" ht="15" customHeight="1">
      <c r="A14" t="inlineStr">
        <is>
          <t>A 47783-2025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45931</v>
      </c>
      <c r="E14" s="1" t="n">
        <v>46307</v>
      </c>
      <c r="F14" t="inlineStr">
        <is>
          <t>VÄSTRA GÖTALANDS LÄN</t>
        </is>
      </c>
      <c r="G14" t="inlineStr">
        <is>
          <t>VÄNERSBORG</t>
        </is>
      </c>
      <c r="I14" t="n">
        <v>1.9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Blåsippa</t>
        </is>
      </c>
      <c r="W14">
        <f>HYPERLINK("https://klasma.github.io/Logging_1487/artfynd/A 47783-2025 artfynd.xlsx", "A 47783-2025")</f>
        <v/>
      </c>
      <c r="X14">
        <f>HYPERLINK("https://klasma.github.io/Logging_1487/kartor/A 47783-2025 karta.png", "A 47783-2025")</f>
        <v/>
      </c>
      <c r="Y14">
        <f>HYPERLINK("https://klasma.github.io/Logging_1487/kartor_geotiff/A 47783-2025 georefererad karta.tif", "A 47783-2025")</f>
        <v/>
      </c>
      <c r="AA14">
        <f>HYPERLINK("https://klasma.github.io/Logging_1487/klagomål/A 47783-2025 FSC-klagomål.docx", "A 47783-2025")</f>
        <v/>
      </c>
      <c r="AB14">
        <f>HYPERLINK("https://klasma.github.io/Logging_1487/klagomålsmail/A 47783-2025 FSC-klagomål mail.docx", "A 47783-2025")</f>
        <v/>
      </c>
      <c r="AC14">
        <f>HYPERLINK("https://klasma.github.io/Logging_1487/tillsyn/A 47783-2025 tillsynsbegäran.docx", "A 47783-2025")</f>
        <v/>
      </c>
      <c r="AD14">
        <f>HYPERLINK("https://klasma.github.io/Logging_1487/tillsynsmail/A 47783-2025 tillsynsbegäran mail.docx", "A 47783-2025")</f>
        <v/>
      </c>
    </row>
    <row r="15" ht="15" customHeight="1">
      <c r="A15" t="inlineStr">
        <is>
          <t>A 11709-2024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45373</v>
      </c>
      <c r="E15" s="1" t="n">
        <v>46307</v>
      </c>
      <c r="F15" t="inlineStr">
        <is>
          <t>VÄSTRA GÖTALANDS LÄN</t>
        </is>
      </c>
      <c r="G15" t="inlineStr">
        <is>
          <t>VÄNERSBORG</t>
        </is>
      </c>
      <c r="I15" t="n">
        <v>4.1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Gullklöver</t>
        </is>
      </c>
      <c r="W15">
        <f>HYPERLINK("https://klasma.github.io/Logging_1487/artfynd/A 11709-2024 artfynd.xlsx", "A 11709-2024")</f>
        <v/>
      </c>
      <c r="X15">
        <f>HYPERLINK("https://klasma.github.io/Logging_1487/kartor/A 11709-2024 karta.png", "A 11709-2024")</f>
        <v/>
      </c>
      <c r="Y15">
        <f>HYPERLINK("https://klasma.github.io/Logging_1487/kartor_geotiff/A 11709-2024 georefererad karta.tif", "A 11709-2024")</f>
        <v/>
      </c>
      <c r="AA15">
        <f>HYPERLINK("https://klasma.github.io/Logging_1487/klagomål/A 11709-2024 FSC-klagomål.docx", "A 11709-2024")</f>
        <v/>
      </c>
      <c r="AB15">
        <f>HYPERLINK("https://klasma.github.io/Logging_1487/klagomålsmail/A 11709-2024 FSC-klagomål mail.docx", "A 11709-2024")</f>
        <v/>
      </c>
      <c r="AC15">
        <f>HYPERLINK("https://klasma.github.io/Logging_1487/tillsyn/A 11709-2024 tillsynsbegäran.docx", "A 11709-2024")</f>
        <v/>
      </c>
      <c r="AD15">
        <f>HYPERLINK("https://klasma.github.io/Logging_1487/tillsynsmail/A 11709-2024 tillsynsbegäran mail.docx", "A 11709-2024")</f>
        <v/>
      </c>
    </row>
    <row r="16" ht="15" customHeight="1">
      <c r="A16" t="inlineStr">
        <is>
          <t>A 25575-2025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45803</v>
      </c>
      <c r="E16" s="1" t="n">
        <v>46307</v>
      </c>
      <c r="F16" t="inlineStr">
        <is>
          <t>VÄSTRA GÖTALANDS LÄN</t>
        </is>
      </c>
      <c r="G16" t="inlineStr">
        <is>
          <t>VÄNERSBORG</t>
        </is>
      </c>
      <c r="H16" t="inlineStr">
        <is>
          <t>Sveaskog</t>
        </is>
      </c>
      <c r="I16" t="n">
        <v>9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s="2" t="inlineStr">
        <is>
          <t>Blåmossa</t>
        </is>
      </c>
      <c r="W16">
        <f>HYPERLINK("https://klasma.github.io/Logging_1487/artfynd/A 25575-2025 artfynd.xlsx", "A 25575-2025")</f>
        <v/>
      </c>
      <c r="X16">
        <f>HYPERLINK("https://klasma.github.io/Logging_1487/kartor/A 25575-2025 karta.png", "A 25575-2025")</f>
        <v/>
      </c>
      <c r="Y16">
        <f>HYPERLINK("https://klasma.github.io/Logging_1487/kartor_geotiff/A 25575-2025 georefererad karta.tif", "A 25575-2025")</f>
        <v/>
      </c>
      <c r="AA16">
        <f>HYPERLINK("https://klasma.github.io/Logging_1487/klagomål/A 25575-2025 FSC-klagomål.docx", "A 25575-2025")</f>
        <v/>
      </c>
      <c r="AB16">
        <f>HYPERLINK("https://klasma.github.io/Logging_1487/klagomålsmail/A 25575-2025 FSC-klagomål mail.docx", "A 25575-2025")</f>
        <v/>
      </c>
      <c r="AC16">
        <f>HYPERLINK("https://klasma.github.io/Logging_1487/tillsyn/A 25575-2025 tillsynsbegäran.docx", "A 25575-2025")</f>
        <v/>
      </c>
      <c r="AD16">
        <f>HYPERLINK("https://klasma.github.io/Logging_1487/tillsynsmail/A 25575-2025 tillsynsbegäran mail.docx", "A 25575-2025")</f>
        <v/>
      </c>
    </row>
    <row r="17" ht="15" customHeight="1">
      <c r="A17" t="inlineStr">
        <is>
          <t>A 48163-2024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45589</v>
      </c>
      <c r="E17" s="1" t="n">
        <v>46307</v>
      </c>
      <c r="F17" t="inlineStr">
        <is>
          <t>VÄSTRA GÖTALANDS LÄN</t>
        </is>
      </c>
      <c r="G17" t="inlineStr">
        <is>
          <t>VÄNERSBORG</t>
        </is>
      </c>
      <c r="I17" t="n">
        <v>14.4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Sångsvan</t>
        </is>
      </c>
      <c r="W17">
        <f>HYPERLINK("https://klasma.github.io/Logging_1487/artfynd/A 48163-2024 artfynd.xlsx", "A 48163-2024")</f>
        <v/>
      </c>
      <c r="X17">
        <f>HYPERLINK("https://klasma.github.io/Logging_1487/kartor/A 48163-2024 karta.png", "A 48163-2024")</f>
        <v/>
      </c>
      <c r="Y17">
        <f>HYPERLINK("https://klasma.github.io/Logging_1487/kartor_geotiff/A 48163-2024 georefererad karta.tif", "A 48163-2024")</f>
        <v/>
      </c>
      <c r="AA17">
        <f>HYPERLINK("https://klasma.github.io/Logging_1487/klagomål/A 48163-2024 FSC-klagomål.docx", "A 48163-2024")</f>
        <v/>
      </c>
      <c r="AB17">
        <f>HYPERLINK("https://klasma.github.io/Logging_1487/klagomålsmail/A 48163-2024 FSC-klagomål mail.docx", "A 48163-2024")</f>
        <v/>
      </c>
      <c r="AC17">
        <f>HYPERLINK("https://klasma.github.io/Logging_1487/tillsyn/A 48163-2024 tillsynsbegäran.docx", "A 48163-2024")</f>
        <v/>
      </c>
      <c r="AD17">
        <f>HYPERLINK("https://klasma.github.io/Logging_1487/tillsynsmail/A 48163-2024 tillsynsbegäran mail.docx", "A 48163-2024")</f>
        <v/>
      </c>
      <c r="AE17">
        <f>HYPERLINK("https://klasma.github.io/Logging_1487/fåglar/A 48163-2024 prioriterade fågelarter.docx", "A 48163-2024")</f>
        <v/>
      </c>
    </row>
    <row r="18" ht="15" customHeight="1">
      <c r="A18" t="inlineStr">
        <is>
          <t>A 10515-2025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45721</v>
      </c>
      <c r="E18" s="1" t="n">
        <v>46307</v>
      </c>
      <c r="F18" t="inlineStr">
        <is>
          <t>VÄSTRA GÖTALANDS LÄN</t>
        </is>
      </c>
      <c r="G18" t="inlineStr">
        <is>
          <t>VÄNERSBORG</t>
        </is>
      </c>
      <c r="I18" t="n">
        <v>2.5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Tibast</t>
        </is>
      </c>
      <c r="W18">
        <f>HYPERLINK("https://klasma.github.io/Logging_1487/artfynd/A 10515-2025 artfynd.xlsx", "A 10515-2025")</f>
        <v/>
      </c>
      <c r="X18">
        <f>HYPERLINK("https://klasma.github.io/Logging_1487/kartor/A 10515-2025 karta.png", "A 10515-2025")</f>
        <v/>
      </c>
      <c r="Y18">
        <f>HYPERLINK("https://klasma.github.io/Logging_1487/kartor_geotiff/A 10515-2025 georefererad karta.tif", "A 10515-2025")</f>
        <v/>
      </c>
      <c r="AA18">
        <f>HYPERLINK("https://klasma.github.io/Logging_1487/klagomål/A 10515-2025 FSC-klagomål.docx", "A 10515-2025")</f>
        <v/>
      </c>
      <c r="AB18">
        <f>HYPERLINK("https://klasma.github.io/Logging_1487/klagomålsmail/A 10515-2025 FSC-klagomål mail.docx", "A 10515-2025")</f>
        <v/>
      </c>
      <c r="AC18">
        <f>HYPERLINK("https://klasma.github.io/Logging_1487/tillsyn/A 10515-2025 tillsynsbegäran.docx", "A 10515-2025")</f>
        <v/>
      </c>
      <c r="AD18">
        <f>HYPERLINK("https://klasma.github.io/Logging_1487/tillsynsmail/A 10515-2025 tillsynsbegäran mail.docx", "A 10515-2025")</f>
        <v/>
      </c>
    </row>
    <row r="19" ht="15" customHeight="1">
      <c r="A19" t="inlineStr">
        <is>
          <t>A 55331-2025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45971</v>
      </c>
      <c r="E19" s="1" t="n">
        <v>46307</v>
      </c>
      <c r="F19" t="inlineStr">
        <is>
          <t>VÄSTRA GÖTALANDS LÄN</t>
        </is>
      </c>
      <c r="G19" t="inlineStr">
        <is>
          <t>VÄNERSBORG</t>
        </is>
      </c>
      <c r="I19" t="n">
        <v>4.2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Mandelriska</t>
        </is>
      </c>
      <c r="W19">
        <f>HYPERLINK("https://klasma.github.io/Logging_1487/artfynd/A 55331-2025 artfynd.xlsx", "A 55331-2025")</f>
        <v/>
      </c>
      <c r="X19">
        <f>HYPERLINK("https://klasma.github.io/Logging_1487/kartor/A 55331-2025 karta.png", "A 55331-2025")</f>
        <v/>
      </c>
      <c r="Y19">
        <f>HYPERLINK("https://klasma.github.io/Logging_1487/kartor_geotiff/A 55331-2025 georefererad karta.tif", "A 55331-2025")</f>
        <v/>
      </c>
      <c r="AA19">
        <f>HYPERLINK("https://klasma.github.io/Logging_1487/klagomål/A 55331-2025 FSC-klagomål.docx", "A 55331-2025")</f>
        <v/>
      </c>
      <c r="AB19">
        <f>HYPERLINK("https://klasma.github.io/Logging_1487/klagomålsmail/A 55331-2025 FSC-klagomål mail.docx", "A 55331-2025")</f>
        <v/>
      </c>
      <c r="AC19">
        <f>HYPERLINK("https://klasma.github.io/Logging_1487/tillsyn/A 55331-2025 tillsynsbegäran.docx", "A 55331-2025")</f>
        <v/>
      </c>
      <c r="AD19">
        <f>HYPERLINK("https://klasma.github.io/Logging_1487/tillsynsmail/A 55331-2025 tillsynsbegäran mail.docx", "A 55331-2025")</f>
        <v/>
      </c>
    </row>
    <row r="20" ht="15" customHeight="1">
      <c r="A20" t="inlineStr">
        <is>
          <t>A 55617-2023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45238</v>
      </c>
      <c r="E20" s="1" t="n">
        <v>46307</v>
      </c>
      <c r="F20" t="inlineStr">
        <is>
          <t>VÄSTRA GÖTALANDS LÄN</t>
        </is>
      </c>
      <c r="G20" t="inlineStr">
        <is>
          <t>VÄNERSBORG</t>
        </is>
      </c>
      <c r="I20" t="n">
        <v>1.1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Blåsippa</t>
        </is>
      </c>
      <c r="W20">
        <f>HYPERLINK("https://klasma.github.io/Logging_1487/artfynd/A 55617-2023 artfynd.xlsx", "A 55617-2023")</f>
        <v/>
      </c>
      <c r="X20">
        <f>HYPERLINK("https://klasma.github.io/Logging_1487/kartor/A 55617-2023 karta.png", "A 55617-2023")</f>
        <v/>
      </c>
      <c r="Y20">
        <f>HYPERLINK("https://klasma.github.io/Logging_1487/kartor_geotiff/A 55617-2023 georefererad karta.tif", "A 55617-2023")</f>
        <v/>
      </c>
      <c r="AA20">
        <f>HYPERLINK("https://klasma.github.io/Logging_1487/klagomål/A 55617-2023 FSC-klagomål.docx", "A 55617-2023")</f>
        <v/>
      </c>
      <c r="AB20">
        <f>HYPERLINK("https://klasma.github.io/Logging_1487/klagomålsmail/A 55617-2023 FSC-klagomål mail.docx", "A 55617-2023")</f>
        <v/>
      </c>
      <c r="AC20">
        <f>HYPERLINK("https://klasma.github.io/Logging_1487/tillsyn/A 55617-2023 tillsynsbegäran.docx", "A 55617-2023")</f>
        <v/>
      </c>
      <c r="AD20">
        <f>HYPERLINK("https://klasma.github.io/Logging_1487/tillsynsmail/A 55617-2023 tillsynsbegäran mail.docx", "A 55617-2023")</f>
        <v/>
      </c>
    </row>
    <row r="21" ht="15" customHeight="1">
      <c r="A21" t="inlineStr">
        <is>
          <t>A 18733-2026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46128</v>
      </c>
      <c r="E21" s="1" t="n">
        <v>46307</v>
      </c>
      <c r="F21" t="inlineStr">
        <is>
          <t>VÄSTRA GÖTALANDS LÄN</t>
        </is>
      </c>
      <c r="G21" t="inlineStr">
        <is>
          <t>VÄNERSBORG</t>
        </is>
      </c>
      <c r="I21" t="n">
        <v>3.4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Tallticka</t>
        </is>
      </c>
      <c r="W21">
        <f>HYPERLINK("https://klasma.github.io/Logging_1487/artfynd/A 18733-2026 artfynd.xlsx", "A 18733-2026")</f>
        <v/>
      </c>
      <c r="X21">
        <f>HYPERLINK("https://klasma.github.io/Logging_1487/kartor/A 18733-2026 karta.png", "A 18733-2026")</f>
        <v/>
      </c>
      <c r="Y21">
        <f>HYPERLINK("https://klasma.github.io/Logging_1487/kartor_geotiff/A 18733-2026 georefererad karta.tif", "A 18733-2026")</f>
        <v/>
      </c>
      <c r="AA21">
        <f>HYPERLINK("https://klasma.github.io/Logging_1487/klagomål/A 18733-2026 FSC-klagomål.docx", "A 18733-2026")</f>
        <v/>
      </c>
      <c r="AB21">
        <f>HYPERLINK("https://klasma.github.io/Logging_1487/klagomålsmail/A 18733-2026 FSC-klagomål mail.docx", "A 18733-2026")</f>
        <v/>
      </c>
      <c r="AC21">
        <f>HYPERLINK("https://klasma.github.io/Logging_1487/tillsyn/A 18733-2026 tillsynsbegäran.docx", "A 18733-2026")</f>
        <v/>
      </c>
      <c r="AD21">
        <f>HYPERLINK("https://klasma.github.io/Logging_1487/tillsynsmail/A 18733-2026 tillsynsbegäran mail.docx", "A 18733-2026")</f>
        <v/>
      </c>
    </row>
    <row r="22" ht="15" customHeight="1">
      <c r="A22" t="inlineStr">
        <is>
          <t>A 39899-2023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45166</v>
      </c>
      <c r="E22" s="1" t="n">
        <v>46307</v>
      </c>
      <c r="F22" t="inlineStr">
        <is>
          <t>VÄSTRA GÖTALANDS LÄN</t>
        </is>
      </c>
      <c r="G22" t="inlineStr">
        <is>
          <t>VÄNERSBORG</t>
        </is>
      </c>
      <c r="I22" t="n">
        <v>15.6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Spillkråka</t>
        </is>
      </c>
      <c r="W22">
        <f>HYPERLINK("https://klasma.github.io/Logging_1487/artfynd/A 39899-2023 artfynd.xlsx", "A 39899-2023")</f>
        <v/>
      </c>
      <c r="X22">
        <f>HYPERLINK("https://klasma.github.io/Logging_1487/kartor/A 39899-2023 karta.png", "A 39899-2023")</f>
        <v/>
      </c>
      <c r="Y22">
        <f>HYPERLINK("https://klasma.github.io/Logging_1487/kartor_geotiff/A 39899-2023 georefererad karta.tif", "A 39899-2023")</f>
        <v/>
      </c>
      <c r="AA22">
        <f>HYPERLINK("https://klasma.github.io/Logging_1487/klagomål/A 39899-2023 FSC-klagomål.docx", "A 39899-2023")</f>
        <v/>
      </c>
      <c r="AB22">
        <f>HYPERLINK("https://klasma.github.io/Logging_1487/klagomålsmail/A 39899-2023 FSC-klagomål mail.docx", "A 39899-2023")</f>
        <v/>
      </c>
      <c r="AC22">
        <f>HYPERLINK("https://klasma.github.io/Logging_1487/tillsyn/A 39899-2023 tillsynsbegäran.docx", "A 39899-2023")</f>
        <v/>
      </c>
      <c r="AD22">
        <f>HYPERLINK("https://klasma.github.io/Logging_1487/tillsynsmail/A 39899-2023 tillsynsbegäran mail.docx", "A 39899-2023")</f>
        <v/>
      </c>
      <c r="AE22">
        <f>HYPERLINK("https://klasma.github.io/Logging_1487/fåglar/A 39899-2023 prioriterade fågelarter.docx", "A 39899-2023")</f>
        <v/>
      </c>
    </row>
    <row r="23" ht="15" customHeight="1">
      <c r="A23" t="inlineStr">
        <is>
          <t>A 27794-2026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46191</v>
      </c>
      <c r="E23" s="1" t="n">
        <v>46307</v>
      </c>
      <c r="F23" t="inlineStr">
        <is>
          <t>VÄSTRA GÖTALANDS LÄN</t>
        </is>
      </c>
      <c r="G23" t="inlineStr">
        <is>
          <t>VÄNERSBORG</t>
        </is>
      </c>
      <c r="I23" t="n">
        <v>1.6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Åkerrättika</t>
        </is>
      </c>
      <c r="W23">
        <f>HYPERLINK("https://klasma.github.io/Logging_1487/artfynd/A 27794-2026 artfynd.xlsx", "A 27794-2026")</f>
        <v/>
      </c>
      <c r="X23">
        <f>HYPERLINK("https://klasma.github.io/Logging_1487/kartor/A 27794-2026 karta.png", "A 27794-2026")</f>
        <v/>
      </c>
      <c r="Y23">
        <f>HYPERLINK("https://klasma.github.io/Logging_1487/kartor_geotiff/A 27794-2026 georefererad karta.tif", "A 27794-2026")</f>
        <v/>
      </c>
      <c r="AA23">
        <f>HYPERLINK("https://klasma.github.io/Logging_1487/klagomål/A 27794-2026 FSC-klagomål.docx", "A 27794-2026")</f>
        <v/>
      </c>
      <c r="AB23">
        <f>HYPERLINK("https://klasma.github.io/Logging_1487/klagomålsmail/A 27794-2026 FSC-klagomål mail.docx", "A 27794-2026")</f>
        <v/>
      </c>
      <c r="AC23">
        <f>HYPERLINK("https://klasma.github.io/Logging_1487/tillsyn/A 27794-2026 tillsynsbegäran.docx", "A 27794-2026")</f>
        <v/>
      </c>
      <c r="AD23">
        <f>HYPERLINK("https://klasma.github.io/Logging_1487/tillsynsmail/A 27794-2026 tillsynsbegäran mail.docx", "A 27794-2026")</f>
        <v/>
      </c>
    </row>
    <row r="24" ht="15" customHeight="1">
      <c r="A24" t="inlineStr">
        <is>
          <t>S 1658-2025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45803</v>
      </c>
      <c r="E24" s="1" t="n">
        <v>46307</v>
      </c>
      <c r="F24" t="inlineStr">
        <is>
          <t>VÄSTRA GÖTALANDS LÄN</t>
        </is>
      </c>
      <c r="G24" t="inlineStr">
        <is>
          <t>VÄNERSBORG</t>
        </is>
      </c>
      <c r="H24" t="inlineStr">
        <is>
          <t>Sveaskog</t>
        </is>
      </c>
      <c r="I24" t="n">
        <v>9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  <c r="V24" s="2" t="inlineStr">
        <is>
          <t>Blåmossa</t>
        </is>
      </c>
      <c r="W24">
        <f>HYPERLINK("https://klasma.github.io/Logging_1487/artfynd/S 1658-2025 artfynd.xlsx", "S 1658-2025")</f>
        <v/>
      </c>
      <c r="X24">
        <f>HYPERLINK("https://klasma.github.io/Logging_1487/kartor/S 1658-2025 karta.png", "S 1658-2025")</f>
        <v/>
      </c>
      <c r="Y24">
        <f>HYPERLINK("https://klasma.github.io/Logging_1487/kartor_geotiff/S 1658-2025 georefererad karta.tif", "S 1658-2025")</f>
        <v/>
      </c>
      <c r="AA24">
        <f>HYPERLINK("https://klasma.github.io/Logging_1487/klagomål/S 1658-2025 FSC-klagomål.docx", "S 1658-2025")</f>
        <v/>
      </c>
      <c r="AB24">
        <f>HYPERLINK("https://klasma.github.io/Logging_1487/klagomålsmail/S 1658-2025 FSC-klagomål mail.docx", "S 1658-2025")</f>
        <v/>
      </c>
      <c r="AC24">
        <f>HYPERLINK("https://klasma.github.io/Logging_1487/tillsyn/S 1658-2025 tillsynsbegäran.docx", "S 1658-2025")</f>
        <v/>
      </c>
      <c r="AD24">
        <f>HYPERLINK("https://klasma.github.io/Logging_1487/tillsynsmail/S 1658-2025 tillsynsbegäran mail.docx", "S 1658-2025")</f>
        <v/>
      </c>
    </row>
    <row r="25" ht="15" customHeight="1">
      <c r="A25" t="inlineStr">
        <is>
          <t>S 2190-2026</t>
        </is>
      </c>
      <c r="B25" t="inlineStr">
        <is>
          <t>samrådsanmälan</t>
        </is>
      </c>
      <c r="C25" t="inlineStr">
        <is>
          <t>Askåterföring</t>
        </is>
      </c>
      <c r="D25" s="1" t="n">
        <v>46254</v>
      </c>
      <c r="E25" s="1" t="n">
        <v>46307</v>
      </c>
      <c r="F25" t="inlineStr">
        <is>
          <t>VÄSTRA GÖTALANDS LÄN</t>
        </is>
      </c>
      <c r="G25" t="inlineStr">
        <is>
          <t>VÄNERSBORG</t>
        </is>
      </c>
      <c r="I25" t="n">
        <v>85.8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Åkerrättika</t>
        </is>
      </c>
      <c r="W25">
        <f>HYPERLINK("https://klasma.github.io/Logging_1487/artfynd/S 2190-2026 artfynd.xlsx", "S 2190-2026")</f>
        <v/>
      </c>
      <c r="X25">
        <f>HYPERLINK("https://klasma.github.io/Logging_1487/kartor/S 2190-2026 karta.png", "S 2190-2026")</f>
        <v/>
      </c>
      <c r="Y25">
        <f>HYPERLINK("https://klasma.github.io/Logging_1487/kartor_geotiff/S 2190-2026 georefererad karta.tif", "S 2190-2026")</f>
        <v/>
      </c>
      <c r="AA25">
        <f>HYPERLINK("https://klasma.github.io/Logging_1487/klagomål/S 2190-2026 FSC-klagomål.docx", "S 2190-2026")</f>
        <v/>
      </c>
      <c r="AB25">
        <f>HYPERLINK("https://klasma.github.io/Logging_1487/klagomålsmail/S 2190-2026 FSC-klagomål mail.docx", "S 2190-2026")</f>
        <v/>
      </c>
      <c r="AC25">
        <f>HYPERLINK("https://klasma.github.io/Logging_1487/tillsyn/S 2190-2026 tillsynsbegäran.docx", "S 2190-2026")</f>
        <v/>
      </c>
      <c r="AD25">
        <f>HYPERLINK("https://klasma.github.io/Logging_1487/tillsynsmail/S 2190-2026 tillsynsbegäran mail.docx", "S 2190-2026")</f>
        <v/>
      </c>
    </row>
    <row r="26" ht="15" customHeight="1">
      <c r="A26" t="inlineStr">
        <is>
          <t>A 54899-2022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44886</v>
      </c>
      <c r="E26" s="1" t="n">
        <v>46307</v>
      </c>
      <c r="F26" t="inlineStr">
        <is>
          <t>VÄSTRA GÖTALANDS LÄN</t>
        </is>
      </c>
      <c r="G26" t="inlineStr">
        <is>
          <t>VÄNERSBORG</t>
        </is>
      </c>
      <c r="I26" t="n">
        <v>1.2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34717-2022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44795</v>
      </c>
      <c r="E27" s="1" t="n">
        <v>46307</v>
      </c>
      <c r="F27" t="inlineStr">
        <is>
          <t>VÄSTRA GÖTALANDS LÄN</t>
        </is>
      </c>
      <c r="G27" t="inlineStr">
        <is>
          <t>VÄNERSBORG</t>
        </is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29346-2022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44753</v>
      </c>
      <c r="E28" s="1" t="n">
        <v>46307</v>
      </c>
      <c r="F28" t="inlineStr">
        <is>
          <t>VÄSTRA GÖTALANDS LÄN</t>
        </is>
      </c>
      <c r="G28" t="inlineStr">
        <is>
          <t>VÄNERSBORG</t>
        </is>
      </c>
      <c r="I28" t="n">
        <v>0.8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73477-2021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44551</v>
      </c>
      <c r="E29" s="1" t="n">
        <v>46307</v>
      </c>
      <c r="F29" t="inlineStr">
        <is>
          <t>VÄSTRA GÖTALANDS LÄN</t>
        </is>
      </c>
      <c r="G29" t="inlineStr">
        <is>
          <t>VÄNERSBORG</t>
        </is>
      </c>
      <c r="I29" t="n">
        <v>1.4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416-2022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44565</v>
      </c>
      <c r="E30" s="1" t="n">
        <v>46307</v>
      </c>
      <c r="F30" t="inlineStr">
        <is>
          <t>VÄSTRA GÖTALANDS LÄN</t>
        </is>
      </c>
      <c r="G30" t="inlineStr">
        <is>
          <t>VÄNERSBORG</t>
        </is>
      </c>
      <c r="I30" t="n">
        <v>1.1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46722-2022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44851</v>
      </c>
      <c r="E31" s="1" t="n">
        <v>46307</v>
      </c>
      <c r="F31" t="inlineStr">
        <is>
          <t>VÄSTRA GÖTALANDS LÄN</t>
        </is>
      </c>
      <c r="G31" t="inlineStr">
        <is>
          <t>VÄNERSBORG</t>
        </is>
      </c>
      <c r="I31" t="n">
        <v>3.2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58307-2021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44488</v>
      </c>
      <c r="E32" s="1" t="n">
        <v>46307</v>
      </c>
      <c r="F32" t="inlineStr">
        <is>
          <t>VÄSTRA GÖTALANDS LÄN</t>
        </is>
      </c>
      <c r="G32" t="inlineStr">
        <is>
          <t>VÄNERSBORG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29368-2022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44753</v>
      </c>
      <c r="E33" s="1" t="n">
        <v>46307</v>
      </c>
      <c r="F33" t="inlineStr">
        <is>
          <t>VÄSTRA GÖTALANDS LÄN</t>
        </is>
      </c>
      <c r="G33" t="inlineStr">
        <is>
          <t>VÄNERSBORG</t>
        </is>
      </c>
      <c r="H33" t="inlineStr">
        <is>
          <t>Sveaskog</t>
        </is>
      </c>
      <c r="I33" t="n">
        <v>8.199999999999999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48115-2022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44857</v>
      </c>
      <c r="E34" s="1" t="n">
        <v>46307</v>
      </c>
      <c r="F34" t="inlineStr">
        <is>
          <t>VÄSTRA GÖTALANDS LÄN</t>
        </is>
      </c>
      <c r="G34" t="inlineStr">
        <is>
          <t>VÄNERSBORG</t>
        </is>
      </c>
      <c r="I34" t="n">
        <v>23.4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29352-2022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44753</v>
      </c>
      <c r="E35" s="1" t="n">
        <v>46307</v>
      </c>
      <c r="F35" t="inlineStr">
        <is>
          <t>VÄSTRA GÖTALANDS LÄN</t>
        </is>
      </c>
      <c r="G35" t="inlineStr">
        <is>
          <t>VÄNERSBORG</t>
        </is>
      </c>
      <c r="I35" t="n">
        <v>0.9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44563</v>
      </c>
      <c r="E36" s="1" t="n">
        <v>46307</v>
      </c>
      <c r="F36" t="inlineStr">
        <is>
          <t>VÄSTRA GÖTALANDS LÄN</t>
        </is>
      </c>
      <c r="G36" t="inlineStr">
        <is>
          <t>VÄNERSBORG</t>
        </is>
      </c>
      <c r="I36" t="n">
        <v>1.8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60987-2021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44497</v>
      </c>
      <c r="E37" s="1" t="n">
        <v>46307</v>
      </c>
      <c r="F37" t="inlineStr">
        <is>
          <t>VÄSTRA GÖTALANDS LÄN</t>
        </is>
      </c>
      <c r="G37" t="inlineStr">
        <is>
          <t>VÄNERSBORG</t>
        </is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3465-2022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44585</v>
      </c>
      <c r="E38" s="1" t="n">
        <v>46307</v>
      </c>
      <c r="F38" t="inlineStr">
        <is>
          <t>VÄSTRA GÖTALANDS LÄN</t>
        </is>
      </c>
      <c r="G38" t="inlineStr">
        <is>
          <t>VÄNERSBORG</t>
        </is>
      </c>
      <c r="I38" t="n">
        <v>3.6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61042-2021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44497</v>
      </c>
      <c r="E39" s="1" t="n">
        <v>46307</v>
      </c>
      <c r="F39" t="inlineStr">
        <is>
          <t>VÄSTRA GÖTALANDS LÄN</t>
        </is>
      </c>
      <c r="G39" t="inlineStr">
        <is>
          <t>VÄNERSBORG</t>
        </is>
      </c>
      <c r="I39" t="n">
        <v>3.8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10977-2022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44628</v>
      </c>
      <c r="E40" s="1" t="n">
        <v>46307</v>
      </c>
      <c r="F40" t="inlineStr">
        <is>
          <t>VÄSTRA GÖTALANDS LÄN</t>
        </is>
      </c>
      <c r="G40" t="inlineStr">
        <is>
          <t>VÄNERSBORG</t>
        </is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29373-2022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44753</v>
      </c>
      <c r="E41" s="1" t="n">
        <v>46307</v>
      </c>
      <c r="F41" t="inlineStr">
        <is>
          <t>VÄSTRA GÖTALANDS LÄN</t>
        </is>
      </c>
      <c r="G41" t="inlineStr">
        <is>
          <t>VÄNERSBORG</t>
        </is>
      </c>
      <c r="H41" t="inlineStr">
        <is>
          <t>Sveaskog</t>
        </is>
      </c>
      <c r="I41" t="n">
        <v>12.5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11979-2022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44635</v>
      </c>
      <c r="E42" s="1" t="n">
        <v>46307</v>
      </c>
      <c r="F42" t="inlineStr">
        <is>
          <t>VÄSTRA GÖTALANDS LÄN</t>
        </is>
      </c>
      <c r="G42" t="inlineStr">
        <is>
          <t>VÄNERSBORG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18157-2022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44684</v>
      </c>
      <c r="E43" s="1" t="n">
        <v>46307</v>
      </c>
      <c r="F43" t="inlineStr">
        <is>
          <t>VÄSTRA GÖTALANDS LÄN</t>
        </is>
      </c>
      <c r="G43" t="inlineStr">
        <is>
          <t>VÄNERSBORG</t>
        </is>
      </c>
      <c r="I43" t="n">
        <v>6.3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19559-2022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44693</v>
      </c>
      <c r="E44" s="1" t="n">
        <v>46307</v>
      </c>
      <c r="F44" t="inlineStr">
        <is>
          <t>VÄSTRA GÖTALANDS LÄN</t>
        </is>
      </c>
      <c r="G44" t="inlineStr">
        <is>
          <t>VÄNERSBORG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2377-2022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44579</v>
      </c>
      <c r="E45" s="1" t="n">
        <v>46307</v>
      </c>
      <c r="F45" t="inlineStr">
        <is>
          <t>VÄSTRA GÖTALANDS LÄN</t>
        </is>
      </c>
      <c r="G45" t="inlineStr">
        <is>
          <t>VÄNERSBORG</t>
        </is>
      </c>
      <c r="I45" t="n">
        <v>0.8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19561-2022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44693</v>
      </c>
      <c r="E46" s="1" t="n">
        <v>46307</v>
      </c>
      <c r="F46" t="inlineStr">
        <is>
          <t>VÄSTRA GÖTALANDS LÄN</t>
        </is>
      </c>
      <c r="G46" t="inlineStr">
        <is>
          <t>VÄNERSBORG</t>
        </is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12828-2022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44642</v>
      </c>
      <c r="E47" s="1" t="n">
        <v>46307</v>
      </c>
      <c r="F47" t="inlineStr">
        <is>
          <t>VÄSTRA GÖTALANDS LÄN</t>
        </is>
      </c>
      <c r="G47" t="inlineStr">
        <is>
          <t>VÄNERSBORG</t>
        </is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12836-2022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44642</v>
      </c>
      <c r="E48" s="1" t="n">
        <v>46307</v>
      </c>
      <c r="F48" t="inlineStr">
        <is>
          <t>VÄSTRA GÖTALANDS LÄN</t>
        </is>
      </c>
      <c r="G48" t="inlineStr">
        <is>
          <t>VÄNERSBORG</t>
        </is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13923-2022</t>
        </is>
      </c>
      <c r="B49" t="inlineStr">
        <is>
          <t>avverkningsanmälan</t>
        </is>
      </c>
      <c r="C49" t="inlineStr">
        <is>
          <t>Avverkning för annat ändamål</t>
        </is>
      </c>
      <c r="D49" s="1" t="n">
        <v>44650</v>
      </c>
      <c r="E49" s="1" t="n">
        <v>46307</v>
      </c>
      <c r="F49" t="inlineStr">
        <is>
          <t>VÄSTRA GÖTALANDS LÄN</t>
        </is>
      </c>
      <c r="G49" t="inlineStr">
        <is>
          <t>VÄNERSBORG</t>
        </is>
      </c>
      <c r="H49" t="inlineStr">
        <is>
          <t>Naturvårdsverket</t>
        </is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10976-2022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44628</v>
      </c>
      <c r="E50" s="1" t="n">
        <v>46307</v>
      </c>
      <c r="F50" t="inlineStr">
        <is>
          <t>VÄSTRA GÖTALANDS LÄN</t>
        </is>
      </c>
      <c r="G50" t="inlineStr">
        <is>
          <t>VÄNERSBORG</t>
        </is>
      </c>
      <c r="I50" t="n">
        <v>0.6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29371-2022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44753</v>
      </c>
      <c r="E51" s="1" t="n">
        <v>46307</v>
      </c>
      <c r="F51" t="inlineStr">
        <is>
          <t>VÄSTRA GÖTALANDS LÄN</t>
        </is>
      </c>
      <c r="G51" t="inlineStr">
        <is>
          <t>VÄNERSBORG</t>
        </is>
      </c>
      <c r="H51" t="inlineStr">
        <is>
          <t>Sveaskog</t>
        </is>
      </c>
      <c r="I51" t="n">
        <v>5.5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29345-2022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44753</v>
      </c>
      <c r="E52" s="1" t="n">
        <v>46307</v>
      </c>
      <c r="F52" t="inlineStr">
        <is>
          <t>VÄSTRA GÖTALANDS LÄN</t>
        </is>
      </c>
      <c r="G52" t="inlineStr">
        <is>
          <t>VÄNERSBORG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15309-2022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44659</v>
      </c>
      <c r="E53" s="1" t="n">
        <v>46307</v>
      </c>
      <c r="F53" t="inlineStr">
        <is>
          <t>VÄSTRA GÖTALANDS LÄN</t>
        </is>
      </c>
      <c r="G53" t="inlineStr">
        <is>
          <t>VÄNERSBORG</t>
        </is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11439-2022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44630</v>
      </c>
      <c r="E54" s="1" t="n">
        <v>46307</v>
      </c>
      <c r="F54" t="inlineStr">
        <is>
          <t>VÄSTRA GÖTALANDS LÄN</t>
        </is>
      </c>
      <c r="G54" t="inlineStr">
        <is>
          <t>VÄNERSBORG</t>
        </is>
      </c>
      <c r="I54" t="n">
        <v>10.6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17861-2024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45419</v>
      </c>
      <c r="E55" s="1" t="n">
        <v>46307</v>
      </c>
      <c r="F55" t="inlineStr">
        <is>
          <t>VÄSTRA GÖTALANDS LÄN</t>
        </is>
      </c>
      <c r="G55" t="inlineStr">
        <is>
          <t>VÄNERSBORG</t>
        </is>
      </c>
      <c r="I55" t="n">
        <v>2.4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20793-2023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45058</v>
      </c>
      <c r="E56" s="1" t="n">
        <v>46307</v>
      </c>
      <c r="F56" t="inlineStr">
        <is>
          <t>VÄSTRA GÖTALANDS LÄN</t>
        </is>
      </c>
      <c r="G56" t="inlineStr">
        <is>
          <t>VÄNERSBORG</t>
        </is>
      </c>
      <c r="I56" t="n">
        <v>3.3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28263-2023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45099</v>
      </c>
      <c r="E57" s="1" t="n">
        <v>46307</v>
      </c>
      <c r="F57" t="inlineStr">
        <is>
          <t>VÄSTRA GÖTALANDS LÄN</t>
        </is>
      </c>
      <c r="G57" t="inlineStr">
        <is>
          <t>VÄNERSBORG</t>
        </is>
      </c>
      <c r="I57" t="n">
        <v>0.6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33033-2024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45517</v>
      </c>
      <c r="E58" s="1" t="n">
        <v>46307</v>
      </c>
      <c r="F58" t="inlineStr">
        <is>
          <t>VÄSTRA GÖTALANDS LÄN</t>
        </is>
      </c>
      <c r="G58" t="inlineStr">
        <is>
          <t>VÄNERSBORG</t>
        </is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49131-2024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45594</v>
      </c>
      <c r="E59" s="1" t="n">
        <v>46307</v>
      </c>
      <c r="F59" t="inlineStr">
        <is>
          <t>VÄSTRA GÖTALANDS LÄN</t>
        </is>
      </c>
      <c r="G59" t="inlineStr">
        <is>
          <t>VÄNERSBORG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61409-2022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44909</v>
      </c>
      <c r="E60" s="1" t="n">
        <v>46307</v>
      </c>
      <c r="F60" t="inlineStr">
        <is>
          <t>VÄSTRA GÖTALANDS LÄN</t>
        </is>
      </c>
      <c r="G60" t="inlineStr">
        <is>
          <t>VÄNERSBORG</t>
        </is>
      </c>
      <c r="I60" t="n">
        <v>5.5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33476-2022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44788</v>
      </c>
      <c r="E61" s="1" t="n">
        <v>46307</v>
      </c>
      <c r="F61" t="inlineStr">
        <is>
          <t>VÄSTRA GÖTALANDS LÄN</t>
        </is>
      </c>
      <c r="G61" t="inlineStr">
        <is>
          <t>VÄNERSBORG</t>
        </is>
      </c>
      <c r="I61" t="n">
        <v>0.8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24107-2024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45456</v>
      </c>
      <c r="E62" s="1" t="n">
        <v>46307</v>
      </c>
      <c r="F62" t="inlineStr">
        <is>
          <t>VÄSTRA GÖTALANDS LÄN</t>
        </is>
      </c>
      <c r="G62" t="inlineStr">
        <is>
          <t>VÄNERSBORG</t>
        </is>
      </c>
      <c r="I62" t="n">
        <v>1.5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14798-2024</t>
        </is>
      </c>
      <c r="B63" t="inlineStr">
        <is>
          <t>avverkningsanmälan</t>
        </is>
      </c>
      <c r="C63" t="inlineStr">
        <is>
          <t>Avverkning för att bevara och utveckla /försöksver</t>
        </is>
      </c>
      <c r="D63" s="1" t="n">
        <v>45397</v>
      </c>
      <c r="E63" s="1" t="n">
        <v>46307</v>
      </c>
      <c r="F63" t="inlineStr">
        <is>
          <t>VÄSTRA GÖTALANDS LÄN</t>
        </is>
      </c>
      <c r="G63" t="inlineStr">
        <is>
          <t>VÄNERSBORG</t>
        </is>
      </c>
      <c r="H63" t="inlineStr">
        <is>
          <t>Sveaskog</t>
        </is>
      </c>
      <c r="I63" t="n">
        <v>2.8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  <c r="Z63">
        <f>HYPERLINK("https://klasma.github.io/Logging_1487/knärot/A 14798-2024 karta knärot.png", "A 14798-2024")</f>
        <v/>
      </c>
      <c r="AA63">
        <f>HYPERLINK("https://klasma.github.io/Logging_1487/klagomål/A 14798-2024 FSC-klagomål.docx", "A 14798-2024")</f>
        <v/>
      </c>
      <c r="AB63">
        <f>HYPERLINK("https://klasma.github.io/Logging_1487/klagomålsmail/A 14798-2024 FSC-klagomål mail.docx", "A 14798-2024")</f>
        <v/>
      </c>
      <c r="AC63">
        <f>HYPERLINK("https://klasma.github.io/Logging_1487/tillsyn/A 14798-2024 tillsynsbegäran.docx", "A 14798-2024")</f>
        <v/>
      </c>
      <c r="AD63">
        <f>HYPERLINK("https://klasma.github.io/Logging_1487/tillsynsmail/A 14798-2024 tillsynsbegäran mail.docx", "A 14798-2024")</f>
        <v/>
      </c>
    </row>
    <row r="64" ht="15" customHeight="1">
      <c r="A64" t="inlineStr">
        <is>
          <t>A 12610-2024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45382</v>
      </c>
      <c r="E64" s="1" t="n">
        <v>46307</v>
      </c>
      <c r="F64" t="inlineStr">
        <is>
          <t>VÄSTRA GÖTALANDS LÄN</t>
        </is>
      </c>
      <c r="G64" t="inlineStr">
        <is>
          <t>VÄNERSBORG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58292-2023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45250</v>
      </c>
      <c r="E65" s="1" t="n">
        <v>46307</v>
      </c>
      <c r="F65" t="inlineStr">
        <is>
          <t>VÄSTRA GÖTALANDS LÄN</t>
        </is>
      </c>
      <c r="G65" t="inlineStr">
        <is>
          <t>VÄNERSBORG</t>
        </is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48496-2024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45592</v>
      </c>
      <c r="E66" s="1" t="n">
        <v>46307</v>
      </c>
      <c r="F66" t="inlineStr">
        <is>
          <t>VÄSTRA GÖTALANDS LÄN</t>
        </is>
      </c>
      <c r="G66" t="inlineStr">
        <is>
          <t>VÄNERSBORG</t>
        </is>
      </c>
      <c r="I66" t="n">
        <v>0.9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2556-2024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45313</v>
      </c>
      <c r="E67" s="1" t="n">
        <v>46307</v>
      </c>
      <c r="F67" t="inlineStr">
        <is>
          <t>VÄSTRA GÖTALANDS LÄN</t>
        </is>
      </c>
      <c r="G67" t="inlineStr">
        <is>
          <t>VÄNERSBORG</t>
        </is>
      </c>
      <c r="I67" t="n">
        <v>2.9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56725-2023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45244</v>
      </c>
      <c r="E68" s="1" t="n">
        <v>46307</v>
      </c>
      <c r="F68" t="inlineStr">
        <is>
          <t>VÄSTRA GÖTALANDS LÄN</t>
        </is>
      </c>
      <c r="G68" t="inlineStr">
        <is>
          <t>VÄNERSBORG</t>
        </is>
      </c>
      <c r="I68" t="n">
        <v>1.9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38614-2025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45884</v>
      </c>
      <c r="E69" s="1" t="n">
        <v>46307</v>
      </c>
      <c r="F69" t="inlineStr">
        <is>
          <t>VÄSTRA GÖTALANDS LÄN</t>
        </is>
      </c>
      <c r="G69" t="inlineStr">
        <is>
          <t>VÄNERSBORG</t>
        </is>
      </c>
      <c r="I69" t="n">
        <v>1.9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17871-2024</t>
        </is>
      </c>
      <c r="B70" t="inlineStr">
        <is>
          <t>avverkningsanmälan</t>
        </is>
      </c>
      <c r="C70" t="inlineStr">
        <is>
          <t>Avverkning för att bevara och utveckla /försöksver</t>
        </is>
      </c>
      <c r="D70" s="1" t="n">
        <v>45419</v>
      </c>
      <c r="E70" s="1" t="n">
        <v>46307</v>
      </c>
      <c r="F70" t="inlineStr">
        <is>
          <t>VÄSTRA GÖTALANDS LÄN</t>
        </is>
      </c>
      <c r="G70" t="inlineStr">
        <is>
          <t>VÄNERSBORG</t>
        </is>
      </c>
      <c r="I70" t="n">
        <v>1.3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6179-2024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45337</v>
      </c>
      <c r="E71" s="1" t="n">
        <v>46307</v>
      </c>
      <c r="F71" t="inlineStr">
        <is>
          <t>VÄSTRA GÖTALANDS LÄN</t>
        </is>
      </c>
      <c r="G71" t="inlineStr">
        <is>
          <t>VÄNERSBORG</t>
        </is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61825-2021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44501</v>
      </c>
      <c r="E72" s="1" t="n">
        <v>46307</v>
      </c>
      <c r="F72" t="inlineStr">
        <is>
          <t>VÄSTRA GÖTALANDS LÄN</t>
        </is>
      </c>
      <c r="G72" t="inlineStr">
        <is>
          <t>VÄNERSBORG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61826-2021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44501</v>
      </c>
      <c r="E73" s="1" t="n">
        <v>46307</v>
      </c>
      <c r="F73" t="inlineStr">
        <is>
          <t>VÄSTRA GÖTALANDS LÄN</t>
        </is>
      </c>
      <c r="G73" t="inlineStr">
        <is>
          <t>VÄNERSBORG</t>
        </is>
      </c>
      <c r="I73" t="n">
        <v>1.5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73226-2021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44550</v>
      </c>
      <c r="E74" s="1" t="n">
        <v>46307</v>
      </c>
      <c r="F74" t="inlineStr">
        <is>
          <t>VÄSTRA GÖTALANDS LÄN</t>
        </is>
      </c>
      <c r="G74" t="inlineStr">
        <is>
          <t>VÄNERSBORG</t>
        </is>
      </c>
      <c r="I74" t="n">
        <v>3.1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16551-2024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45408</v>
      </c>
      <c r="E75" s="1" t="n">
        <v>46307</v>
      </c>
      <c r="F75" t="inlineStr">
        <is>
          <t>VÄSTRA GÖTALANDS LÄN</t>
        </is>
      </c>
      <c r="G75" t="inlineStr">
        <is>
          <t>VÄNERSBORG</t>
        </is>
      </c>
      <c r="I75" t="n">
        <v>6.6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22402-2024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45446</v>
      </c>
      <c r="E76" s="1" t="n">
        <v>46307</v>
      </c>
      <c r="F76" t="inlineStr">
        <is>
          <t>VÄSTRA GÖTALANDS LÄN</t>
        </is>
      </c>
      <c r="G76" t="inlineStr">
        <is>
          <t>VÄNERSBORG</t>
        </is>
      </c>
      <c r="I76" t="n">
        <v>5.4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31051-2022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44769</v>
      </c>
      <c r="E77" s="1" t="n">
        <v>46307</v>
      </c>
      <c r="F77" t="inlineStr">
        <is>
          <t>VÄSTRA GÖTALANDS LÄN</t>
        </is>
      </c>
      <c r="G77" t="inlineStr">
        <is>
          <t>VÄNERSBORG</t>
        </is>
      </c>
      <c r="I77" t="n">
        <v>1.5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1749-2024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45307</v>
      </c>
      <c r="E78" s="1" t="n">
        <v>46307</v>
      </c>
      <c r="F78" t="inlineStr">
        <is>
          <t>VÄSTRA GÖTALANDS LÄN</t>
        </is>
      </c>
      <c r="G78" t="inlineStr">
        <is>
          <t>VÄNERSBORG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120-2024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45294</v>
      </c>
      <c r="E79" s="1" t="n">
        <v>46307</v>
      </c>
      <c r="F79" t="inlineStr">
        <is>
          <t>VÄSTRA GÖTALANDS LÄN</t>
        </is>
      </c>
      <c r="G79" t="inlineStr">
        <is>
          <t>VÄNERSBORG</t>
        </is>
      </c>
      <c r="I79" t="n">
        <v>4.1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369-2023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44929</v>
      </c>
      <c r="E80" s="1" t="n">
        <v>46307</v>
      </c>
      <c r="F80" t="inlineStr">
        <is>
          <t>VÄSTRA GÖTALANDS LÄN</t>
        </is>
      </c>
      <c r="G80" t="inlineStr">
        <is>
          <t>VÄNERSBORG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38360-2024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45545</v>
      </c>
      <c r="E81" s="1" t="n">
        <v>46307</v>
      </c>
      <c r="F81" t="inlineStr">
        <is>
          <t>VÄSTRA GÖTALANDS LÄN</t>
        </is>
      </c>
      <c r="G81" t="inlineStr">
        <is>
          <t>VÄNERSBORG</t>
        </is>
      </c>
      <c r="I81" t="n">
        <v>1.7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27181-2023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45096</v>
      </c>
      <c r="E82" s="1" t="n">
        <v>46307</v>
      </c>
      <c r="F82" t="inlineStr">
        <is>
          <t>VÄSTRA GÖTALANDS LÄN</t>
        </is>
      </c>
      <c r="G82" t="inlineStr">
        <is>
          <t>VÄNERSBORG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46320-2024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45581</v>
      </c>
      <c r="E83" s="1" t="n">
        <v>46307</v>
      </c>
      <c r="F83" t="inlineStr">
        <is>
          <t>VÄSTRA GÖTALANDS LÄN</t>
        </is>
      </c>
      <c r="G83" t="inlineStr">
        <is>
          <t>VÄNERSBORG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519-2023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44930</v>
      </c>
      <c r="E84" s="1" t="n">
        <v>46307</v>
      </c>
      <c r="F84" t="inlineStr">
        <is>
          <t>VÄSTRA GÖTALANDS LÄN</t>
        </is>
      </c>
      <c r="G84" t="inlineStr">
        <is>
          <t>VÄNERSBORG</t>
        </is>
      </c>
      <c r="I84" t="n">
        <v>2.9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9169-2023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44980</v>
      </c>
      <c r="E85" s="1" t="n">
        <v>46307</v>
      </c>
      <c r="F85" t="inlineStr">
        <is>
          <t>VÄSTRA GÖTALANDS LÄN</t>
        </is>
      </c>
      <c r="G85" t="inlineStr">
        <is>
          <t>VÄNERSBORG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40553-2025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45896</v>
      </c>
      <c r="E86" s="1" t="n">
        <v>46307</v>
      </c>
      <c r="F86" t="inlineStr">
        <is>
          <t>VÄSTRA GÖTALANDS LÄN</t>
        </is>
      </c>
      <c r="G86" t="inlineStr">
        <is>
          <t>VÄNERSBORG</t>
        </is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40538-2025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45896</v>
      </c>
      <c r="E87" s="1" t="n">
        <v>46307</v>
      </c>
      <c r="F87" t="inlineStr">
        <is>
          <t>VÄSTRA GÖTALANDS LÄN</t>
        </is>
      </c>
      <c r="G87" t="inlineStr">
        <is>
          <t>VÄNERSBORG</t>
        </is>
      </c>
      <c r="I87" t="n">
        <v>2.7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40539-2025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45896</v>
      </c>
      <c r="E88" s="1" t="n">
        <v>46307</v>
      </c>
      <c r="F88" t="inlineStr">
        <is>
          <t>VÄSTRA GÖTALANDS LÄN</t>
        </is>
      </c>
      <c r="G88" t="inlineStr">
        <is>
          <t>VÄNERSBORG</t>
        </is>
      </c>
      <c r="I88" t="n">
        <v>4.3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40544-2025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45896</v>
      </c>
      <c r="E89" s="1" t="n">
        <v>46307</v>
      </c>
      <c r="F89" t="inlineStr">
        <is>
          <t>VÄSTRA GÖTALANDS LÄN</t>
        </is>
      </c>
      <c r="G89" t="inlineStr">
        <is>
          <t>VÄNERSBORG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40550-2025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45896</v>
      </c>
      <c r="E90" s="1" t="n">
        <v>46307</v>
      </c>
      <c r="F90" t="inlineStr">
        <is>
          <t>VÄSTRA GÖTALANDS LÄN</t>
        </is>
      </c>
      <c r="G90" t="inlineStr">
        <is>
          <t>VÄNERSBORG</t>
        </is>
      </c>
      <c r="I90" t="n">
        <v>2.2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40844-2025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45897</v>
      </c>
      <c r="E91" s="1" t="n">
        <v>46307</v>
      </c>
      <c r="F91" t="inlineStr">
        <is>
          <t>VÄSTRA GÖTALANDS LÄN</t>
        </is>
      </c>
      <c r="G91" t="inlineStr">
        <is>
          <t>VÄNERSBORG</t>
        </is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43798-2024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45571</v>
      </c>
      <c r="E92" s="1" t="n">
        <v>46307</v>
      </c>
      <c r="F92" t="inlineStr">
        <is>
          <t>VÄSTRA GÖTALANDS LÄN</t>
        </is>
      </c>
      <c r="G92" t="inlineStr">
        <is>
          <t>VÄNERSBORG</t>
        </is>
      </c>
      <c r="I92" t="n">
        <v>2.1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41795-2025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45902</v>
      </c>
      <c r="E93" s="1" t="n">
        <v>46307</v>
      </c>
      <c r="F93" t="inlineStr">
        <is>
          <t>VÄSTRA GÖTALANDS LÄN</t>
        </is>
      </c>
      <c r="G93" t="inlineStr">
        <is>
          <t>VÄNERSBORG</t>
        </is>
      </c>
      <c r="I93" t="n">
        <v>2.6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23700-2023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45077</v>
      </c>
      <c r="E94" s="1" t="n">
        <v>46307</v>
      </c>
      <c r="F94" t="inlineStr">
        <is>
          <t>VÄSTRA GÖTALANDS LÄN</t>
        </is>
      </c>
      <c r="G94" t="inlineStr">
        <is>
          <t>VÄNERSBORG</t>
        </is>
      </c>
      <c r="I94" t="n">
        <v>1.1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6167-2024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45337</v>
      </c>
      <c r="E95" s="1" t="n">
        <v>46307</v>
      </c>
      <c r="F95" t="inlineStr">
        <is>
          <t>VÄSTRA GÖTALANDS LÄN</t>
        </is>
      </c>
      <c r="G95" t="inlineStr">
        <is>
          <t>VÄNERSBORG</t>
        </is>
      </c>
      <c r="I95" t="n">
        <v>6.5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17077-2023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45034</v>
      </c>
      <c r="E96" s="1" t="n">
        <v>46307</v>
      </c>
      <c r="F96" t="inlineStr">
        <is>
          <t>VÄSTRA GÖTALANDS LÄN</t>
        </is>
      </c>
      <c r="G96" t="inlineStr">
        <is>
          <t>VÄNERSBORG</t>
        </is>
      </c>
      <c r="I96" t="n">
        <v>5.2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33912-2023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45134</v>
      </c>
      <c r="E97" s="1" t="n">
        <v>46307</v>
      </c>
      <c r="F97" t="inlineStr">
        <is>
          <t>VÄSTRA GÖTALANDS LÄN</t>
        </is>
      </c>
      <c r="G97" t="inlineStr">
        <is>
          <t>VÄNERSBORG</t>
        </is>
      </c>
      <c r="I97" t="n">
        <v>1.7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42566-2025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45905</v>
      </c>
      <c r="E98" s="1" t="n">
        <v>46307</v>
      </c>
      <c r="F98" t="inlineStr">
        <is>
          <t>VÄSTRA GÖTALANDS LÄN</t>
        </is>
      </c>
      <c r="G98" t="inlineStr">
        <is>
          <t>VÄNERSBORG</t>
        </is>
      </c>
      <c r="I98" t="n">
        <v>2.9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7640-2024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45348</v>
      </c>
      <c r="E99" s="1" t="n">
        <v>46307</v>
      </c>
      <c r="F99" t="inlineStr">
        <is>
          <t>VÄSTRA GÖTALANDS LÄN</t>
        </is>
      </c>
      <c r="G99" t="inlineStr">
        <is>
          <t>VÄNERSBORG</t>
        </is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58972-2024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45636</v>
      </c>
      <c r="E100" s="1" t="n">
        <v>46307</v>
      </c>
      <c r="F100" t="inlineStr">
        <is>
          <t>VÄSTRA GÖTALANDS LÄN</t>
        </is>
      </c>
      <c r="G100" t="inlineStr">
        <is>
          <t>VÄNERSBORG</t>
        </is>
      </c>
      <c r="I100" t="n">
        <v>2.1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61566-2024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45646</v>
      </c>
      <c r="E101" s="1" t="n">
        <v>46307</v>
      </c>
      <c r="F101" t="inlineStr">
        <is>
          <t>VÄSTRA GÖTALANDS LÄN</t>
        </is>
      </c>
      <c r="G101" t="inlineStr">
        <is>
          <t>VÄNERSBORG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54006-2022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44881</v>
      </c>
      <c r="E102" s="1" t="n">
        <v>46307</v>
      </c>
      <c r="F102" t="inlineStr">
        <is>
          <t>VÄSTRA GÖTALANDS LÄN</t>
        </is>
      </c>
      <c r="G102" t="inlineStr">
        <is>
          <t>VÄNERSBORG</t>
        </is>
      </c>
      <c r="I102" t="n">
        <v>4.2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56734-2023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45244</v>
      </c>
      <c r="E103" s="1" t="n">
        <v>46307</v>
      </c>
      <c r="F103" t="inlineStr">
        <is>
          <t>VÄSTRA GÖTALANDS LÄN</t>
        </is>
      </c>
      <c r="G103" t="inlineStr">
        <is>
          <t>VÄNERSBORG</t>
        </is>
      </c>
      <c r="I103" t="n">
        <v>1.3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33942-2023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45134</v>
      </c>
      <c r="E104" s="1" t="n">
        <v>46307</v>
      </c>
      <c r="F104" t="inlineStr">
        <is>
          <t>VÄSTRA GÖTALANDS LÄN</t>
        </is>
      </c>
      <c r="G104" t="inlineStr">
        <is>
          <t>VÄNERSBORG</t>
        </is>
      </c>
      <c r="I104" t="n">
        <v>1.4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44589-2025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45917</v>
      </c>
      <c r="E105" s="1" t="n">
        <v>46307</v>
      </c>
      <c r="F105" t="inlineStr">
        <is>
          <t>VÄSTRA GÖTALANDS LÄN</t>
        </is>
      </c>
      <c r="G105" t="inlineStr">
        <is>
          <t>VÄNERSBORG</t>
        </is>
      </c>
      <c r="I105" t="n">
        <v>0.9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44841-2025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45918</v>
      </c>
      <c r="E106" s="1" t="n">
        <v>46307</v>
      </c>
      <c r="F106" t="inlineStr">
        <is>
          <t>VÄSTRA GÖTALANDS LÄN</t>
        </is>
      </c>
      <c r="G106" t="inlineStr">
        <is>
          <t>VÄNERSBORG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44597-2025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45917</v>
      </c>
      <c r="E107" s="1" t="n">
        <v>46307</v>
      </c>
      <c r="F107" t="inlineStr">
        <is>
          <t>VÄSTRA GÖTALANDS LÄN</t>
        </is>
      </c>
      <c r="G107" t="inlineStr">
        <is>
          <t>VÄNERSBORG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44584-2025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45917</v>
      </c>
      <c r="E108" s="1" t="n">
        <v>46307</v>
      </c>
      <c r="F108" t="inlineStr">
        <is>
          <t>VÄSTRA GÖTALANDS LÄN</t>
        </is>
      </c>
      <c r="G108" t="inlineStr">
        <is>
          <t>VÄNERSBORG</t>
        </is>
      </c>
      <c r="I108" t="n">
        <v>0.8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45537-2025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45922</v>
      </c>
      <c r="E109" s="1" t="n">
        <v>46307</v>
      </c>
      <c r="F109" t="inlineStr">
        <is>
          <t>VÄSTRA GÖTALANDS LÄN</t>
        </is>
      </c>
      <c r="G109" t="inlineStr">
        <is>
          <t>VÄNERSBORG</t>
        </is>
      </c>
      <c r="I109" t="n">
        <v>0.9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22326-2025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45786</v>
      </c>
      <c r="E110" s="1" t="n">
        <v>46307</v>
      </c>
      <c r="F110" t="inlineStr">
        <is>
          <t>VÄSTRA GÖTALANDS LÄN</t>
        </is>
      </c>
      <c r="G110" t="inlineStr">
        <is>
          <t>VÄNERSBORG</t>
        </is>
      </c>
      <c r="I110" t="n">
        <v>3.7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14722-2023</t>
        </is>
      </c>
      <c r="B111" t="inlineStr">
        <is>
          <t>avverkningsanmälan</t>
        </is>
      </c>
      <c r="C111" t="inlineStr">
        <is>
          <t>Avverkning för annat ändamål</t>
        </is>
      </c>
      <c r="D111" s="1" t="n">
        <v>45014</v>
      </c>
      <c r="E111" s="1" t="n">
        <v>46307</v>
      </c>
      <c r="F111" t="inlineStr">
        <is>
          <t>VÄSTRA GÖTALANDS LÄN</t>
        </is>
      </c>
      <c r="G111" t="inlineStr">
        <is>
          <t>VÄNERSBORG</t>
        </is>
      </c>
      <c r="I111" t="n">
        <v>2.1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10525-2025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45721</v>
      </c>
      <c r="E112" s="1" t="n">
        <v>46307</v>
      </c>
      <c r="F112" t="inlineStr">
        <is>
          <t>VÄSTRA GÖTALANDS LÄN</t>
        </is>
      </c>
      <c r="G112" t="inlineStr">
        <is>
          <t>VÄNERSBORG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10444-2022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44623</v>
      </c>
      <c r="E113" s="1" t="n">
        <v>46307</v>
      </c>
      <c r="F113" t="inlineStr">
        <is>
          <t>VÄSTRA GÖTALANDS LÄN</t>
        </is>
      </c>
      <c r="G113" t="inlineStr">
        <is>
          <t>VÄNERSBORG</t>
        </is>
      </c>
      <c r="I113" t="n">
        <v>4.2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43799-2024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45571</v>
      </c>
      <c r="E114" s="1" t="n">
        <v>46307</v>
      </c>
      <c r="F114" t="inlineStr">
        <is>
          <t>VÄSTRA GÖTALANDS LÄN</t>
        </is>
      </c>
      <c r="G114" t="inlineStr">
        <is>
          <t>VÄNERSBORG</t>
        </is>
      </c>
      <c r="I114" t="n">
        <v>1.3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42605-2024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45565</v>
      </c>
      <c r="E115" s="1" t="n">
        <v>46307</v>
      </c>
      <c r="F115" t="inlineStr">
        <is>
          <t>VÄSTRA GÖTALANDS LÄN</t>
        </is>
      </c>
      <c r="G115" t="inlineStr">
        <is>
          <t>VÄNERSBORG</t>
        </is>
      </c>
      <c r="I115" t="n">
        <v>2.7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16747-2023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45030</v>
      </c>
      <c r="E116" s="1" t="n">
        <v>46307</v>
      </c>
      <c r="F116" t="inlineStr">
        <is>
          <t>VÄSTRA GÖTALANDS LÄN</t>
        </is>
      </c>
      <c r="G116" t="inlineStr">
        <is>
          <t>VÄNERSBORG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13666-2025</t>
        </is>
      </c>
      <c r="B117" t="inlineStr">
        <is>
          <t>avverkningsanmälan</t>
        </is>
      </c>
      <c r="C117" t="inlineStr">
        <is>
          <t>Avverkning för annat ändamål</t>
        </is>
      </c>
      <c r="D117" s="1" t="n">
        <v>45736</v>
      </c>
      <c r="E117" s="1" t="n">
        <v>46307</v>
      </c>
      <c r="F117" t="inlineStr">
        <is>
          <t>VÄSTRA GÖTALANDS LÄN</t>
        </is>
      </c>
      <c r="G117" t="inlineStr">
        <is>
          <t>VÄNERSBORG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13674-2025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45736</v>
      </c>
      <c r="E118" s="1" t="n">
        <v>46307</v>
      </c>
      <c r="F118" t="inlineStr">
        <is>
          <t>VÄSTRA GÖTALANDS LÄN</t>
        </is>
      </c>
      <c r="G118" t="inlineStr">
        <is>
          <t>VÄNERSBORG</t>
        </is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13196-2025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45735</v>
      </c>
      <c r="E119" s="1" t="n">
        <v>46307</v>
      </c>
      <c r="F119" t="inlineStr">
        <is>
          <t>VÄSTRA GÖTALANDS LÄN</t>
        </is>
      </c>
      <c r="G119" t="inlineStr">
        <is>
          <t>VÄNERSBORG</t>
        </is>
      </c>
      <c r="I119" t="n">
        <v>5.7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47342-2025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45930</v>
      </c>
      <c r="E120" s="1" t="n">
        <v>46307</v>
      </c>
      <c r="F120" t="inlineStr">
        <is>
          <t>VÄSTRA GÖTALANDS LÄN</t>
        </is>
      </c>
      <c r="G120" t="inlineStr">
        <is>
          <t>VÄNERSBORG</t>
        </is>
      </c>
      <c r="I120" t="n">
        <v>0.8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42698-2024</t>
        </is>
      </c>
      <c r="B121" t="inlineStr">
        <is>
          <t>avverkningsanmälan</t>
        </is>
      </c>
      <c r="C121" t="inlineStr">
        <is>
          <t>Avverkning för annat ändamål</t>
        </is>
      </c>
      <c r="D121" s="1" t="n">
        <v>45566</v>
      </c>
      <c r="E121" s="1" t="n">
        <v>46307</v>
      </c>
      <c r="F121" t="inlineStr">
        <is>
          <t>VÄSTRA GÖTALANDS LÄN</t>
        </is>
      </c>
      <c r="G121" t="inlineStr">
        <is>
          <t>VÄNERSBORG</t>
        </is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6140-2024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45337</v>
      </c>
      <c r="E122" s="1" t="n">
        <v>46307</v>
      </c>
      <c r="F122" t="inlineStr">
        <is>
          <t>VÄSTRA GÖTALANDS LÄN</t>
        </is>
      </c>
      <c r="G122" t="inlineStr">
        <is>
          <t>VÄNERSBORG</t>
        </is>
      </c>
      <c r="I122" t="n">
        <v>12.8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11883-2025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45728</v>
      </c>
      <c r="E123" s="1" t="n">
        <v>46307</v>
      </c>
      <c r="F123" t="inlineStr">
        <is>
          <t>VÄSTRA GÖTALANDS LÄN</t>
        </is>
      </c>
      <c r="G123" t="inlineStr">
        <is>
          <t>VÄNERSBORG</t>
        </is>
      </c>
      <c r="I123" t="n">
        <v>4.2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24549-2025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45798</v>
      </c>
      <c r="E124" s="1" t="n">
        <v>46307</v>
      </c>
      <c r="F124" t="inlineStr">
        <is>
          <t>VÄSTRA GÖTALANDS LÄN</t>
        </is>
      </c>
      <c r="G124" t="inlineStr">
        <is>
          <t>VÄNERSBORG</t>
        </is>
      </c>
      <c r="I124" t="n">
        <v>1.9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24567-2025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45798</v>
      </c>
      <c r="E125" s="1" t="n">
        <v>46307</v>
      </c>
      <c r="F125" t="inlineStr">
        <is>
          <t>VÄSTRA GÖTALANDS LÄN</t>
        </is>
      </c>
      <c r="G125" t="inlineStr">
        <is>
          <t>VÄNERSBORG</t>
        </is>
      </c>
      <c r="I125" t="n">
        <v>1.2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24560-2025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45798</v>
      </c>
      <c r="E126" s="1" t="n">
        <v>46307</v>
      </c>
      <c r="F126" t="inlineStr">
        <is>
          <t>VÄSTRA GÖTALANDS LÄN</t>
        </is>
      </c>
      <c r="G126" t="inlineStr">
        <is>
          <t>VÄNERSBORG</t>
        </is>
      </c>
      <c r="I126" t="n">
        <v>1.8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3880-2022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44587</v>
      </c>
      <c r="E127" s="1" t="n">
        <v>46307</v>
      </c>
      <c r="F127" t="inlineStr">
        <is>
          <t>VÄSTRA GÖTALANDS LÄN</t>
        </is>
      </c>
      <c r="G127" t="inlineStr">
        <is>
          <t>VÄNERSBORG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27232-2024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45471</v>
      </c>
      <c r="E128" s="1" t="n">
        <v>46307</v>
      </c>
      <c r="F128" t="inlineStr">
        <is>
          <t>VÄSTRA GÖTALANDS LÄN</t>
        </is>
      </c>
      <c r="G128" t="inlineStr">
        <is>
          <t>VÄNERSBORG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3884-2022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44587</v>
      </c>
      <c r="E129" s="1" t="n">
        <v>46307</v>
      </c>
      <c r="F129" t="inlineStr">
        <is>
          <t>VÄSTRA GÖTALANDS LÄN</t>
        </is>
      </c>
      <c r="G129" t="inlineStr">
        <is>
          <t>VÄNERSBORG</t>
        </is>
      </c>
      <c r="I129" t="n">
        <v>1.9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49481-2023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45211</v>
      </c>
      <c r="E130" s="1" t="n">
        <v>46307</v>
      </c>
      <c r="F130" t="inlineStr">
        <is>
          <t>VÄSTRA GÖTALANDS LÄN</t>
        </is>
      </c>
      <c r="G130" t="inlineStr">
        <is>
          <t>VÄNERSBORG</t>
        </is>
      </c>
      <c r="I130" t="n">
        <v>1.9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24894-2025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45799</v>
      </c>
      <c r="E131" s="1" t="n">
        <v>46307</v>
      </c>
      <c r="F131" t="inlineStr">
        <is>
          <t>VÄSTRA GÖTALANDS LÄN</t>
        </is>
      </c>
      <c r="G131" t="inlineStr">
        <is>
          <t>VÄNERSBORG</t>
        </is>
      </c>
      <c r="I131" t="n">
        <v>0.4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64606-2023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45281</v>
      </c>
      <c r="E132" s="1" t="n">
        <v>46307</v>
      </c>
      <c r="F132" t="inlineStr">
        <is>
          <t>VÄSTRA GÖTALANDS LÄN</t>
        </is>
      </c>
      <c r="G132" t="inlineStr">
        <is>
          <t>VÄNERSBORG</t>
        </is>
      </c>
      <c r="I132" t="n">
        <v>7.7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50939-2024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45602</v>
      </c>
      <c r="E133" s="1" t="n">
        <v>46307</v>
      </c>
      <c r="F133" t="inlineStr">
        <is>
          <t>VÄSTRA GÖTALANDS LÄN</t>
        </is>
      </c>
      <c r="G133" t="inlineStr">
        <is>
          <t>VÄNERSBORG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46520-2024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45582</v>
      </c>
      <c r="E134" s="1" t="n">
        <v>46307</v>
      </c>
      <c r="F134" t="inlineStr">
        <is>
          <t>VÄSTRA GÖTALANDS LÄN</t>
        </is>
      </c>
      <c r="G134" t="inlineStr">
        <is>
          <t>VÄNERSBORG</t>
        </is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20536-2023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45057</v>
      </c>
      <c r="E135" s="1" t="n">
        <v>46307</v>
      </c>
      <c r="F135" t="inlineStr">
        <is>
          <t>VÄSTRA GÖTALANDS LÄN</t>
        </is>
      </c>
      <c r="G135" t="inlineStr">
        <is>
          <t>VÄNERSBORG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15102-2024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45399</v>
      </c>
      <c r="E136" s="1" t="n">
        <v>46307</v>
      </c>
      <c r="F136" t="inlineStr">
        <is>
          <t>VÄSTRA GÖTALANDS LÄN</t>
        </is>
      </c>
      <c r="G136" t="inlineStr">
        <is>
          <t>VÄNERSBORG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55618-2023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45238</v>
      </c>
      <c r="E137" s="1" t="n">
        <v>46307</v>
      </c>
      <c r="F137" t="inlineStr">
        <is>
          <t>VÄSTRA GÖTALANDS LÄN</t>
        </is>
      </c>
      <c r="G137" t="inlineStr">
        <is>
          <t>VÄNERSBORG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49201-2025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45938</v>
      </c>
      <c r="E138" s="1" t="n">
        <v>46307</v>
      </c>
      <c r="F138" t="inlineStr">
        <is>
          <t>VÄSTRA GÖTALANDS LÄN</t>
        </is>
      </c>
      <c r="G138" t="inlineStr">
        <is>
          <t>VÄNERSBORG</t>
        </is>
      </c>
      <c r="I138" t="n">
        <v>5.3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48161-2024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45589</v>
      </c>
      <c r="E139" s="1" t="n">
        <v>46307</v>
      </c>
      <c r="F139" t="inlineStr">
        <is>
          <t>VÄSTRA GÖTALANDS LÄN</t>
        </is>
      </c>
      <c r="G139" t="inlineStr">
        <is>
          <t>VÄNERSBORG</t>
        </is>
      </c>
      <c r="I139" t="n">
        <v>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40939-2024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45558</v>
      </c>
      <c r="E140" s="1" t="n">
        <v>46307</v>
      </c>
      <c r="F140" t="inlineStr">
        <is>
          <t>VÄSTRA GÖTALANDS LÄN</t>
        </is>
      </c>
      <c r="G140" t="inlineStr">
        <is>
          <t>VÄNERSBORG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46514-2024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45582</v>
      </c>
      <c r="E141" s="1" t="n">
        <v>46307</v>
      </c>
      <c r="F141" t="inlineStr">
        <is>
          <t>VÄSTRA GÖTALANDS LÄN</t>
        </is>
      </c>
      <c r="G141" t="inlineStr">
        <is>
          <t>VÄNERSBORG</t>
        </is>
      </c>
      <c r="I141" t="n">
        <v>2.1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46521-2024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45582</v>
      </c>
      <c r="E142" s="1" t="n">
        <v>46307</v>
      </c>
      <c r="F142" t="inlineStr">
        <is>
          <t>VÄSTRA GÖTALANDS LÄN</t>
        </is>
      </c>
      <c r="G142" t="inlineStr">
        <is>
          <t>VÄNERSBORG</t>
        </is>
      </c>
      <c r="I142" t="n">
        <v>1.1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48034-2024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45589</v>
      </c>
      <c r="E143" s="1" t="n">
        <v>46307</v>
      </c>
      <c r="F143" t="inlineStr">
        <is>
          <t>VÄSTRA GÖTALANDS LÄN</t>
        </is>
      </c>
      <c r="G143" t="inlineStr">
        <is>
          <t>VÄNERSBORG</t>
        </is>
      </c>
      <c r="I143" t="n">
        <v>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51480-2024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45603</v>
      </c>
      <c r="E144" s="1" t="n">
        <v>46307</v>
      </c>
      <c r="F144" t="inlineStr">
        <is>
          <t>VÄSTRA GÖTALANDS LÄN</t>
        </is>
      </c>
      <c r="G144" t="inlineStr">
        <is>
          <t>VÄNERSBORG</t>
        </is>
      </c>
      <c r="I144" t="n">
        <v>3.9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4736-2024</t>
        </is>
      </c>
      <c r="B145" t="inlineStr">
        <is>
          <t>avverkningsanmälan</t>
        </is>
      </c>
      <c r="C145" t="inlineStr">
        <is>
          <t>Avverkning för annat ändamål</t>
        </is>
      </c>
      <c r="D145" s="1" t="n">
        <v>45328</v>
      </c>
      <c r="E145" s="1" t="n">
        <v>46307</v>
      </c>
      <c r="F145" t="inlineStr">
        <is>
          <t>VÄSTRA GÖTALANDS LÄN</t>
        </is>
      </c>
      <c r="G145" t="inlineStr">
        <is>
          <t>VÄNERSBORG</t>
        </is>
      </c>
      <c r="H145" t="inlineStr">
        <is>
          <t>Kommuner</t>
        </is>
      </c>
      <c r="I145" t="n">
        <v>4.8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27031-2025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45811</v>
      </c>
      <c r="E146" s="1" t="n">
        <v>46307</v>
      </c>
      <c r="F146" t="inlineStr">
        <is>
          <t>VÄSTRA GÖTALANDS LÄN</t>
        </is>
      </c>
      <c r="G146" t="inlineStr">
        <is>
          <t>VÄNERSBORG</t>
        </is>
      </c>
      <c r="I146" t="n">
        <v>1.5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50145-2025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45943</v>
      </c>
      <c r="E147" s="1" t="n">
        <v>46307</v>
      </c>
      <c r="F147" t="inlineStr">
        <is>
          <t>VÄSTRA GÖTALANDS LÄN</t>
        </is>
      </c>
      <c r="G147" t="inlineStr">
        <is>
          <t>VÄNERSBORG</t>
        </is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11817-2025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45728</v>
      </c>
      <c r="E148" s="1" t="n">
        <v>46307</v>
      </c>
      <c r="F148" t="inlineStr">
        <is>
          <t>VÄSTRA GÖTALANDS LÄN</t>
        </is>
      </c>
      <c r="G148" t="inlineStr">
        <is>
          <t>VÄNERSBORG</t>
        </is>
      </c>
      <c r="I148" t="n">
        <v>3.1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65120-2023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45287</v>
      </c>
      <c r="E149" s="1" t="n">
        <v>46307</v>
      </c>
      <c r="F149" t="inlineStr">
        <is>
          <t>VÄSTRA GÖTALANDS LÄN</t>
        </is>
      </c>
      <c r="G149" t="inlineStr">
        <is>
          <t>VÄNERSBORG</t>
        </is>
      </c>
      <c r="I149" t="n">
        <v>11.4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29840-2025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45826</v>
      </c>
      <c r="E150" s="1" t="n">
        <v>46307</v>
      </c>
      <c r="F150" t="inlineStr">
        <is>
          <t>VÄSTRA GÖTALANDS LÄN</t>
        </is>
      </c>
      <c r="G150" t="inlineStr">
        <is>
          <t>VÄNERSBORG</t>
        </is>
      </c>
      <c r="I150" t="n">
        <v>2.8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43987-2022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44838</v>
      </c>
      <c r="E151" s="1" t="n">
        <v>46307</v>
      </c>
      <c r="F151" t="inlineStr">
        <is>
          <t>VÄSTRA GÖTALANDS LÄN</t>
        </is>
      </c>
      <c r="G151" t="inlineStr">
        <is>
          <t>VÄNERSBORG</t>
        </is>
      </c>
      <c r="I151" t="n">
        <v>1.2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20584-2023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45057</v>
      </c>
      <c r="E152" s="1" t="n">
        <v>46307</v>
      </c>
      <c r="F152" t="inlineStr">
        <is>
          <t>VÄSTRA GÖTALANDS LÄN</t>
        </is>
      </c>
      <c r="G152" t="inlineStr">
        <is>
          <t>VÄNERSBORG</t>
        </is>
      </c>
      <c r="I152" t="n">
        <v>1.9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59745-2024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45639</v>
      </c>
      <c r="E153" s="1" t="n">
        <v>46307</v>
      </c>
      <c r="F153" t="inlineStr">
        <is>
          <t>VÄSTRA GÖTALANDS LÄN</t>
        </is>
      </c>
      <c r="G153" t="inlineStr">
        <is>
          <t>VÄNERSBORG</t>
        </is>
      </c>
      <c r="I153" t="n">
        <v>3.4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53296-2025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45958</v>
      </c>
      <c r="E154" s="1" t="n">
        <v>46307</v>
      </c>
      <c r="F154" t="inlineStr">
        <is>
          <t>VÄSTRA GÖTALANDS LÄN</t>
        </is>
      </c>
      <c r="G154" t="inlineStr">
        <is>
          <t>VÄNERSBORG</t>
        </is>
      </c>
      <c r="I154" t="n">
        <v>1.3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17985-2022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44683</v>
      </c>
      <c r="E155" s="1" t="n">
        <v>46307</v>
      </c>
      <c r="F155" t="inlineStr">
        <is>
          <t>VÄSTRA GÖTALANDS LÄN</t>
        </is>
      </c>
      <c r="G155" t="inlineStr">
        <is>
          <t>VÄNERSBORG</t>
        </is>
      </c>
      <c r="I155" t="n">
        <v>10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56829-2023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45244</v>
      </c>
      <c r="E156" s="1" t="n">
        <v>46307</v>
      </c>
      <c r="F156" t="inlineStr">
        <is>
          <t>VÄSTRA GÖTALANDS LÄN</t>
        </is>
      </c>
      <c r="G156" t="inlineStr">
        <is>
          <t>VÄNERSBORG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43817-2023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45187</v>
      </c>
      <c r="E157" s="1" t="n">
        <v>46307</v>
      </c>
      <c r="F157" t="inlineStr">
        <is>
          <t>VÄSTRA GÖTALANDS LÄN</t>
        </is>
      </c>
      <c r="G157" t="inlineStr">
        <is>
          <t>VÄNERSBORG</t>
        </is>
      </c>
      <c r="I157" t="n">
        <v>2.2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54244-2025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45964</v>
      </c>
      <c r="E158" s="1" t="n">
        <v>46307</v>
      </c>
      <c r="F158" t="inlineStr">
        <is>
          <t>VÄSTRA GÖTALANDS LÄN</t>
        </is>
      </c>
      <c r="G158" t="inlineStr">
        <is>
          <t>VÄNERSBORG</t>
        </is>
      </c>
      <c r="I158" t="n">
        <v>5.1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2146-2025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45672</v>
      </c>
      <c r="E159" s="1" t="n">
        <v>46307</v>
      </c>
      <c r="F159" t="inlineStr">
        <is>
          <t>VÄSTRA GÖTALANDS LÄN</t>
        </is>
      </c>
      <c r="G159" t="inlineStr">
        <is>
          <t>VÄNERSBORG</t>
        </is>
      </c>
      <c r="I159" t="n">
        <v>0.6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54467-2025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45965</v>
      </c>
      <c r="E160" s="1" t="n">
        <v>46307</v>
      </c>
      <c r="F160" t="inlineStr">
        <is>
          <t>VÄSTRA GÖTALANDS LÄN</t>
        </is>
      </c>
      <c r="G160" t="inlineStr">
        <is>
          <t>VÄNERSBORG</t>
        </is>
      </c>
      <c r="I160" t="n">
        <v>13.4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13698-2024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45390</v>
      </c>
      <c r="E161" s="1" t="n">
        <v>46307</v>
      </c>
      <c r="F161" t="inlineStr">
        <is>
          <t>VÄSTRA GÖTALANDS LÄN</t>
        </is>
      </c>
      <c r="G161" t="inlineStr">
        <is>
          <t>VÄNERSBORG</t>
        </is>
      </c>
      <c r="I161" t="n">
        <v>1.2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23862-2022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44722</v>
      </c>
      <c r="E162" s="1" t="n">
        <v>46307</v>
      </c>
      <c r="F162" t="inlineStr">
        <is>
          <t>VÄSTRA GÖTALANDS LÄN</t>
        </is>
      </c>
      <c r="G162" t="inlineStr">
        <is>
          <t>VÄNERSBORG</t>
        </is>
      </c>
      <c r="I162" t="n">
        <v>2.1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40721-2022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44824</v>
      </c>
      <c r="E163" s="1" t="n">
        <v>46307</v>
      </c>
      <c r="F163" t="inlineStr">
        <is>
          <t>VÄSTRA GÖTALANDS LÄN</t>
        </is>
      </c>
      <c r="G163" t="inlineStr">
        <is>
          <t>VÄNERSBORG</t>
        </is>
      </c>
      <c r="I163" t="n">
        <v>1.8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54863-2025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45966</v>
      </c>
      <c r="E164" s="1" t="n">
        <v>46307</v>
      </c>
      <c r="F164" t="inlineStr">
        <is>
          <t>VÄSTRA GÖTALANDS LÄN</t>
        </is>
      </c>
      <c r="G164" t="inlineStr">
        <is>
          <t>VÄNERSBORG</t>
        </is>
      </c>
      <c r="I164" t="n">
        <v>0.4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46523-2024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45582</v>
      </c>
      <c r="E165" s="1" t="n">
        <v>46307</v>
      </c>
      <c r="F165" t="inlineStr">
        <is>
          <t>VÄSTRA GÖTALANDS LÄN</t>
        </is>
      </c>
      <c r="G165" t="inlineStr">
        <is>
          <t>VÄNERSBORG</t>
        </is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7605-2022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44606</v>
      </c>
      <c r="E166" s="1" t="n">
        <v>46307</v>
      </c>
      <c r="F166" t="inlineStr">
        <is>
          <t>VÄSTRA GÖTALANDS LÄN</t>
        </is>
      </c>
      <c r="G166" t="inlineStr">
        <is>
          <t>VÄNERSBORG</t>
        </is>
      </c>
      <c r="I166" t="n">
        <v>7.1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28385-2022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44747</v>
      </c>
      <c r="E167" s="1" t="n">
        <v>46307</v>
      </c>
      <c r="F167" t="inlineStr">
        <is>
          <t>VÄSTRA GÖTALANDS LÄN</t>
        </is>
      </c>
      <c r="G167" t="inlineStr">
        <is>
          <t>VÄNERSBORG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56261-2025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45974</v>
      </c>
      <c r="E168" s="1" t="n">
        <v>46307</v>
      </c>
      <c r="F168" t="inlineStr">
        <is>
          <t>VÄSTRA GÖTALANDS LÄN</t>
        </is>
      </c>
      <c r="G168" t="inlineStr">
        <is>
          <t>VÄNERSBORG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59692-2023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45256</v>
      </c>
      <c r="E169" s="1" t="n">
        <v>46307</v>
      </c>
      <c r="F169" t="inlineStr">
        <is>
          <t>VÄSTRA GÖTALANDS LÄN</t>
        </is>
      </c>
      <c r="G169" t="inlineStr">
        <is>
          <t>VÄNERSBORG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56922-2025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45978</v>
      </c>
      <c r="E170" s="1" t="n">
        <v>46307</v>
      </c>
      <c r="F170" t="inlineStr">
        <is>
          <t>VÄSTRA GÖTALANDS LÄN</t>
        </is>
      </c>
      <c r="G170" t="inlineStr">
        <is>
          <t>VÄNERSBORG</t>
        </is>
      </c>
      <c r="I170" t="n">
        <v>3.3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7795-2023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44973</v>
      </c>
      <c r="E171" s="1" t="n">
        <v>46307</v>
      </c>
      <c r="F171" t="inlineStr">
        <is>
          <t>VÄSTRA GÖTALANDS LÄN</t>
        </is>
      </c>
      <c r="G171" t="inlineStr">
        <is>
          <t>VÄNERSBORG</t>
        </is>
      </c>
      <c r="I171" t="n">
        <v>2.5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15067-2025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45743</v>
      </c>
      <c r="E172" s="1" t="n">
        <v>46307</v>
      </c>
      <c r="F172" t="inlineStr">
        <is>
          <t>VÄSTRA GÖTALANDS LÄN</t>
        </is>
      </c>
      <c r="G172" t="inlineStr">
        <is>
          <t>VÄNERSBORG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15458-2025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45747</v>
      </c>
      <c r="E173" s="1" t="n">
        <v>46307</v>
      </c>
      <c r="F173" t="inlineStr">
        <is>
          <t>VÄSTRA GÖTALANDS LÄN</t>
        </is>
      </c>
      <c r="G173" t="inlineStr">
        <is>
          <t>VÄNERSBORG</t>
        </is>
      </c>
      <c r="I173" t="n">
        <v>4.2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9732-2023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44978</v>
      </c>
      <c r="E174" s="1" t="n">
        <v>46307</v>
      </c>
      <c r="F174" t="inlineStr">
        <is>
          <t>VÄSTRA GÖTALANDS LÄN</t>
        </is>
      </c>
      <c r="G174" t="inlineStr">
        <is>
          <t>VÄNERSBORG</t>
        </is>
      </c>
      <c r="I174" t="n">
        <v>2.8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47630-2022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44852</v>
      </c>
      <c r="E175" s="1" t="n">
        <v>46307</v>
      </c>
      <c r="F175" t="inlineStr">
        <is>
          <t>VÄSTRA GÖTALANDS LÄN</t>
        </is>
      </c>
      <c r="G175" t="inlineStr">
        <is>
          <t>VÄNERSBORG</t>
        </is>
      </c>
      <c r="I175" t="n">
        <v>3.7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26025-2025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45804</v>
      </c>
      <c r="E176" s="1" t="n">
        <v>46307</v>
      </c>
      <c r="F176" t="inlineStr">
        <is>
          <t>VÄSTRA GÖTALANDS LÄN</t>
        </is>
      </c>
      <c r="G176" t="inlineStr">
        <is>
          <t>VÄNERSBORG</t>
        </is>
      </c>
      <c r="I176" t="n">
        <v>3.1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7420-2024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45345</v>
      </c>
      <c r="E177" s="1" t="n">
        <v>46307</v>
      </c>
      <c r="F177" t="inlineStr">
        <is>
          <t>VÄSTRA GÖTALANDS LÄN</t>
        </is>
      </c>
      <c r="G177" t="inlineStr">
        <is>
          <t>VÄNERSBORG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13491-2026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46094</v>
      </c>
      <c r="E178" s="1" t="n">
        <v>46307</v>
      </c>
      <c r="F178" t="inlineStr">
        <is>
          <t>VÄSTRA GÖTALANDS LÄN</t>
        </is>
      </c>
      <c r="G178" t="inlineStr">
        <is>
          <t>VÄNERSBORG</t>
        </is>
      </c>
      <c r="I178" t="n">
        <v>0.7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15099-2024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45399</v>
      </c>
      <c r="E179" s="1" t="n">
        <v>46307</v>
      </c>
      <c r="F179" t="inlineStr">
        <is>
          <t>VÄSTRA GÖTALANDS LÄN</t>
        </is>
      </c>
      <c r="G179" t="inlineStr">
        <is>
          <t>VÄNERSBORG</t>
        </is>
      </c>
      <c r="I179" t="n">
        <v>1.2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15107-2024</t>
        </is>
      </c>
      <c r="B180" t="inlineStr">
        <is>
          <t>avverkningsanmälan</t>
        </is>
      </c>
      <c r="C180" t="inlineStr">
        <is>
          <t>Avverkning för annat ändamål</t>
        </is>
      </c>
      <c r="D180" s="1" t="n">
        <v>45399</v>
      </c>
      <c r="E180" s="1" t="n">
        <v>46307</v>
      </c>
      <c r="F180" t="inlineStr">
        <is>
          <t>VÄSTRA GÖTALANDS LÄN</t>
        </is>
      </c>
      <c r="G180" t="inlineStr">
        <is>
          <t>VÄNERSBORG</t>
        </is>
      </c>
      <c r="I180" t="n">
        <v>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18715-2023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45043</v>
      </c>
      <c r="E181" s="1" t="n">
        <v>46307</v>
      </c>
      <c r="F181" t="inlineStr">
        <is>
          <t>VÄSTRA GÖTALANDS LÄN</t>
        </is>
      </c>
      <c r="G181" t="inlineStr">
        <is>
          <t>VÄNERSBORG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16452-2025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45751</v>
      </c>
      <c r="E182" s="1" t="n">
        <v>46307</v>
      </c>
      <c r="F182" t="inlineStr">
        <is>
          <t>VÄSTRA GÖTALANDS LÄN</t>
        </is>
      </c>
      <c r="G182" t="inlineStr">
        <is>
          <t>VÄNERSBORG</t>
        </is>
      </c>
      <c r="I182" t="n">
        <v>0.4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14875-2026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46104</v>
      </c>
      <c r="E183" s="1" t="n">
        <v>46307</v>
      </c>
      <c r="F183" t="inlineStr">
        <is>
          <t>VÄSTRA GÖTALANDS LÄN</t>
        </is>
      </c>
      <c r="G183" t="inlineStr">
        <is>
          <t>VÄNERSBORG</t>
        </is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14853-2026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46104</v>
      </c>
      <c r="E184" s="1" t="n">
        <v>46307</v>
      </c>
      <c r="F184" t="inlineStr">
        <is>
          <t>VÄSTRA GÖTALANDS LÄN</t>
        </is>
      </c>
      <c r="G184" t="inlineStr">
        <is>
          <t>VÄNERSBORG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14886-2026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46104</v>
      </c>
      <c r="E185" s="1" t="n">
        <v>46307</v>
      </c>
      <c r="F185" t="inlineStr">
        <is>
          <t>VÄSTRA GÖTALANDS LÄN</t>
        </is>
      </c>
      <c r="G185" t="inlineStr">
        <is>
          <t>VÄNERSBORG</t>
        </is>
      </c>
      <c r="I185" t="n">
        <v>1.6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14873-2026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46104</v>
      </c>
      <c r="E186" s="1" t="n">
        <v>46307</v>
      </c>
      <c r="F186" t="inlineStr">
        <is>
          <t>VÄSTRA GÖTALANDS LÄN</t>
        </is>
      </c>
      <c r="G186" t="inlineStr">
        <is>
          <t>VÄNERSBORG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12823-2022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44642</v>
      </c>
      <c r="E187" s="1" t="n">
        <v>46307</v>
      </c>
      <c r="F187" t="inlineStr">
        <is>
          <t>VÄSTRA GÖTALANDS LÄN</t>
        </is>
      </c>
      <c r="G187" t="inlineStr">
        <is>
          <t>VÄNERSBORG</t>
        </is>
      </c>
      <c r="I187" t="n">
        <v>1.9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57699-2023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45246</v>
      </c>
      <c r="E188" s="1" t="n">
        <v>46307</v>
      </c>
      <c r="F188" t="inlineStr">
        <is>
          <t>VÄSTRA GÖTALANDS LÄN</t>
        </is>
      </c>
      <c r="G188" t="inlineStr">
        <is>
          <t>VÄNERSBORG</t>
        </is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27815-2024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45475</v>
      </c>
      <c r="E189" s="1" t="n">
        <v>46307</v>
      </c>
      <c r="F189" t="inlineStr">
        <is>
          <t>VÄSTRA GÖTALANDS LÄN</t>
        </is>
      </c>
      <c r="G189" t="inlineStr">
        <is>
          <t>VÄNERSBORG</t>
        </is>
      </c>
      <c r="I189" t="n">
        <v>0.6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32838-2022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44784</v>
      </c>
      <c r="E190" s="1" t="n">
        <v>46307</v>
      </c>
      <c r="F190" t="inlineStr">
        <is>
          <t>VÄSTRA GÖTALANDS LÄN</t>
        </is>
      </c>
      <c r="G190" t="inlineStr">
        <is>
          <t>VÄNERSBORG</t>
        </is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22631-2022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44714</v>
      </c>
      <c r="E191" s="1" t="n">
        <v>46307</v>
      </c>
      <c r="F191" t="inlineStr">
        <is>
          <t>VÄSTRA GÖTALANDS LÄN</t>
        </is>
      </c>
      <c r="G191" t="inlineStr">
        <is>
          <t>VÄNERSBORG</t>
        </is>
      </c>
      <c r="I191" t="n">
        <v>7.1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505-2023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44930</v>
      </c>
      <c r="E192" s="1" t="n">
        <v>46307</v>
      </c>
      <c r="F192" t="inlineStr">
        <is>
          <t>VÄSTRA GÖTALANDS LÄN</t>
        </is>
      </c>
      <c r="G192" t="inlineStr">
        <is>
          <t>VÄNERSBORG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16192-2026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46111</v>
      </c>
      <c r="E193" s="1" t="n">
        <v>46307</v>
      </c>
      <c r="F193" t="inlineStr">
        <is>
          <t>VÄSTRA GÖTALANDS LÄN</t>
        </is>
      </c>
      <c r="G193" t="inlineStr">
        <is>
          <t>VÄNERSBORG</t>
        </is>
      </c>
      <c r="H193" t="inlineStr">
        <is>
          <t>Kommuner</t>
        </is>
      </c>
      <c r="I193" t="n">
        <v>6.8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19051-2023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45047</v>
      </c>
      <c r="E194" s="1" t="n">
        <v>46307</v>
      </c>
      <c r="F194" t="inlineStr">
        <is>
          <t>VÄSTRA GÖTALANDS LÄN</t>
        </is>
      </c>
      <c r="G194" t="inlineStr">
        <is>
          <t>VÄNERSBORG</t>
        </is>
      </c>
      <c r="I194" t="n">
        <v>6.6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6270-2023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44965</v>
      </c>
      <c r="E195" s="1" t="n">
        <v>46307</v>
      </c>
      <c r="F195" t="inlineStr">
        <is>
          <t>VÄSTRA GÖTALANDS LÄN</t>
        </is>
      </c>
      <c r="G195" t="inlineStr">
        <is>
          <t>VÄNERSBORG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60325-2025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45994</v>
      </c>
      <c r="E196" s="1" t="n">
        <v>46307</v>
      </c>
      <c r="F196" t="inlineStr">
        <is>
          <t>VÄSTRA GÖTALANDS LÄN</t>
        </is>
      </c>
      <c r="G196" t="inlineStr">
        <is>
          <t>VÄNERSBORG</t>
        </is>
      </c>
      <c r="I196" t="n">
        <v>11.5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63509-2023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45274</v>
      </c>
      <c r="E197" s="1" t="n">
        <v>46307</v>
      </c>
      <c r="F197" t="inlineStr">
        <is>
          <t>VÄSTRA GÖTALANDS LÄN</t>
        </is>
      </c>
      <c r="G197" t="inlineStr">
        <is>
          <t>VÄNERSBORG</t>
        </is>
      </c>
      <c r="I197" t="n">
        <v>3.4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17270-2026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46119</v>
      </c>
      <c r="E198" s="1" t="n">
        <v>46307</v>
      </c>
      <c r="F198" t="inlineStr">
        <is>
          <t>VÄSTRA GÖTALANDS LÄN</t>
        </is>
      </c>
      <c r="G198" t="inlineStr">
        <is>
          <t>VÄNERSBORG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60095-2025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45993</v>
      </c>
      <c r="E199" s="1" t="n">
        <v>46307</v>
      </c>
      <c r="F199" t="inlineStr">
        <is>
          <t>VÄSTRA GÖTALANDS LÄN</t>
        </is>
      </c>
      <c r="G199" t="inlineStr">
        <is>
          <t>VÄNERSBORG</t>
        </is>
      </c>
      <c r="I199" t="n">
        <v>3.8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17334-2026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46119</v>
      </c>
      <c r="E200" s="1" t="n">
        <v>46307</v>
      </c>
      <c r="F200" t="inlineStr">
        <is>
          <t>VÄSTRA GÖTALANDS LÄN</t>
        </is>
      </c>
      <c r="G200" t="inlineStr">
        <is>
          <t>VÄNERSBORG</t>
        </is>
      </c>
      <c r="I200" t="n">
        <v>3.3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60328-2025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45994</v>
      </c>
      <c r="E201" s="1" t="n">
        <v>46307</v>
      </c>
      <c r="F201" t="inlineStr">
        <is>
          <t>VÄSTRA GÖTALANDS LÄN</t>
        </is>
      </c>
      <c r="G201" t="inlineStr">
        <is>
          <t>VÄNERSBORG</t>
        </is>
      </c>
      <c r="I201" t="n">
        <v>8.9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61120-2025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46000</v>
      </c>
      <c r="E202" s="1" t="n">
        <v>46307</v>
      </c>
      <c r="F202" t="inlineStr">
        <is>
          <t>VÄSTRA GÖTALANDS LÄN</t>
        </is>
      </c>
      <c r="G202" t="inlineStr">
        <is>
          <t>VÄNERSBORG</t>
        </is>
      </c>
      <c r="I202" t="n">
        <v>2.6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18830-2026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46128</v>
      </c>
      <c r="E203" s="1" t="n">
        <v>46307</v>
      </c>
      <c r="F203" t="inlineStr">
        <is>
          <t>VÄSTRA GÖTALANDS LÄN</t>
        </is>
      </c>
      <c r="G203" t="inlineStr">
        <is>
          <t>VÄNERSBORG</t>
        </is>
      </c>
      <c r="I203" t="n">
        <v>3.3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13334-2022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44645</v>
      </c>
      <c r="E204" s="1" t="n">
        <v>46307</v>
      </c>
      <c r="F204" t="inlineStr">
        <is>
          <t>VÄSTRA GÖTALANDS LÄN</t>
        </is>
      </c>
      <c r="G204" t="inlineStr">
        <is>
          <t>VÄNERSBORG</t>
        </is>
      </c>
      <c r="I204" t="n">
        <v>1.2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20280-2023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45056</v>
      </c>
      <c r="E205" s="1" t="n">
        <v>46307</v>
      </c>
      <c r="F205" t="inlineStr">
        <is>
          <t>VÄSTRA GÖTALANDS LÄN</t>
        </is>
      </c>
      <c r="G205" t="inlineStr">
        <is>
          <t>VÄNERSBORG</t>
        </is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44588-2025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45917</v>
      </c>
      <c r="E206" s="1" t="n">
        <v>46307</v>
      </c>
      <c r="F206" t="inlineStr">
        <is>
          <t>VÄSTRA GÖTALANDS LÄN</t>
        </is>
      </c>
      <c r="G206" t="inlineStr">
        <is>
          <t>VÄNERSBORG</t>
        </is>
      </c>
      <c r="I206" t="n">
        <v>0.9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24940-2023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45085</v>
      </c>
      <c r="E207" s="1" t="n">
        <v>46307</v>
      </c>
      <c r="F207" t="inlineStr">
        <is>
          <t>VÄSTRA GÖTALANDS LÄN</t>
        </is>
      </c>
      <c r="G207" t="inlineStr">
        <is>
          <t>VÄNERSBORG</t>
        </is>
      </c>
      <c r="I207" t="n">
        <v>4.6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33921-2023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45134</v>
      </c>
      <c r="E208" s="1" t="n">
        <v>46307</v>
      </c>
      <c r="F208" t="inlineStr">
        <is>
          <t>VÄSTRA GÖTALANDS LÄN</t>
        </is>
      </c>
      <c r="G208" t="inlineStr">
        <is>
          <t>VÄNERSBORG</t>
        </is>
      </c>
      <c r="I208" t="n">
        <v>2.4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48494-2024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45592</v>
      </c>
      <c r="E209" s="1" t="n">
        <v>46307</v>
      </c>
      <c r="F209" t="inlineStr">
        <is>
          <t>VÄSTRA GÖTALANDS LÄN</t>
        </is>
      </c>
      <c r="G209" t="inlineStr">
        <is>
          <t>VÄNERSBORG</t>
        </is>
      </c>
      <c r="I209" t="n">
        <v>0.9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12853-2023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45001</v>
      </c>
      <c r="E210" s="1" t="n">
        <v>46307</v>
      </c>
      <c r="F210" t="inlineStr">
        <is>
          <t>VÄSTRA GÖTALANDS LÄN</t>
        </is>
      </c>
      <c r="G210" t="inlineStr">
        <is>
          <t>VÄNERSBORG</t>
        </is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21140-2023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45062</v>
      </c>
      <c r="E211" s="1" t="n">
        <v>46307</v>
      </c>
      <c r="F211" t="inlineStr">
        <is>
          <t>VÄSTRA GÖTALANDS LÄN</t>
        </is>
      </c>
      <c r="G211" t="inlineStr">
        <is>
          <t>VÄNERSBORG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6752-2023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44966</v>
      </c>
      <c r="E212" s="1" t="n">
        <v>46307</v>
      </c>
      <c r="F212" t="inlineStr">
        <is>
          <t>VÄSTRA GÖTALANDS LÄN</t>
        </is>
      </c>
      <c r="G212" t="inlineStr">
        <is>
          <t>VÄNERSBORG</t>
        </is>
      </c>
      <c r="I212" t="n">
        <v>1.1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146-2026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46024</v>
      </c>
      <c r="E213" s="1" t="n">
        <v>46307</v>
      </c>
      <c r="F213" t="inlineStr">
        <is>
          <t>VÄSTRA GÖTALANDS LÄN</t>
        </is>
      </c>
      <c r="G213" t="inlineStr">
        <is>
          <t>VÄNERSBORG</t>
        </is>
      </c>
      <c r="I213" t="n">
        <v>1.6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24892-2025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45799</v>
      </c>
      <c r="E214" s="1" t="n">
        <v>46307</v>
      </c>
      <c r="F214" t="inlineStr">
        <is>
          <t>VÄSTRA GÖTALANDS LÄN</t>
        </is>
      </c>
      <c r="G214" t="inlineStr">
        <is>
          <t>VÄNERSBORG</t>
        </is>
      </c>
      <c r="I214" t="n">
        <v>3.8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17172-2023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45034</v>
      </c>
      <c r="E215" s="1" t="n">
        <v>46307</v>
      </c>
      <c r="F215" t="inlineStr">
        <is>
          <t>VÄSTRA GÖTALANDS LÄN</t>
        </is>
      </c>
      <c r="G215" t="inlineStr">
        <is>
          <t>VÄNERSBORG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32843-2022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44784</v>
      </c>
      <c r="E216" s="1" t="n">
        <v>46307</v>
      </c>
      <c r="F216" t="inlineStr">
        <is>
          <t>VÄSTRA GÖTALANDS LÄN</t>
        </is>
      </c>
      <c r="G216" t="inlineStr">
        <is>
          <t>VÄNERSBORG</t>
        </is>
      </c>
      <c r="I216" t="n">
        <v>2.2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28190-2022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44746</v>
      </c>
      <c r="E217" s="1" t="n">
        <v>46307</v>
      </c>
      <c r="F217" t="inlineStr">
        <is>
          <t>VÄSTRA GÖTALANDS LÄN</t>
        </is>
      </c>
      <c r="G217" t="inlineStr">
        <is>
          <t>VÄNERSBORG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4195-2026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46044</v>
      </c>
      <c r="E218" s="1" t="n">
        <v>46307</v>
      </c>
      <c r="F218" t="inlineStr">
        <is>
          <t>VÄSTRA GÖTALANDS LÄN</t>
        </is>
      </c>
      <c r="G218" t="inlineStr">
        <is>
          <t>VÄNERSBORG</t>
        </is>
      </c>
      <c r="I218" t="n">
        <v>1.6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12910-2023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45001</v>
      </c>
      <c r="E219" s="1" t="n">
        <v>46307</v>
      </c>
      <c r="F219" t="inlineStr">
        <is>
          <t>VÄSTRA GÖTALANDS LÄN</t>
        </is>
      </c>
      <c r="G219" t="inlineStr">
        <is>
          <t>VÄNERSBORG</t>
        </is>
      </c>
      <c r="I219" t="n">
        <v>6.9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6172-2024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45337</v>
      </c>
      <c r="E220" s="1" t="n">
        <v>46307</v>
      </c>
      <c r="F220" t="inlineStr">
        <is>
          <t>VÄSTRA GÖTALANDS LÄN</t>
        </is>
      </c>
      <c r="G220" t="inlineStr">
        <is>
          <t>VÄNERSBORG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50002-2023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45215</v>
      </c>
      <c r="E221" s="1" t="n">
        <v>46307</v>
      </c>
      <c r="F221" t="inlineStr">
        <is>
          <t>VÄSTRA GÖTALANDS LÄN</t>
        </is>
      </c>
      <c r="G221" t="inlineStr">
        <is>
          <t>VÄNERSBORG</t>
        </is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33925-2023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45134</v>
      </c>
      <c r="E222" s="1" t="n">
        <v>46307</v>
      </c>
      <c r="F222" t="inlineStr">
        <is>
          <t>VÄSTRA GÖTALANDS LÄN</t>
        </is>
      </c>
      <c r="G222" t="inlineStr">
        <is>
          <t>VÄNERSBORG</t>
        </is>
      </c>
      <c r="I222" t="n">
        <v>0.4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50884-2025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45946</v>
      </c>
      <c r="E223" s="1" t="n">
        <v>46307</v>
      </c>
      <c r="F223" t="inlineStr">
        <is>
          <t>VÄSTRA GÖTALANDS LÄN</t>
        </is>
      </c>
      <c r="G223" t="inlineStr">
        <is>
          <t>VÄNERSBORG</t>
        </is>
      </c>
      <c r="I223" t="n">
        <v>4.8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20714-2026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46141</v>
      </c>
      <c r="E224" s="1" t="n">
        <v>46307</v>
      </c>
      <c r="F224" t="inlineStr">
        <is>
          <t>VÄSTRA GÖTALANDS LÄN</t>
        </is>
      </c>
      <c r="G224" t="inlineStr">
        <is>
          <t>VÄNERSBORG</t>
        </is>
      </c>
      <c r="I224" t="n">
        <v>1.9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1930-2026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46035</v>
      </c>
      <c r="E225" s="1" t="n">
        <v>46307</v>
      </c>
      <c r="F225" t="inlineStr">
        <is>
          <t>VÄSTRA GÖTALANDS LÄN</t>
        </is>
      </c>
      <c r="G225" t="inlineStr">
        <is>
          <t>VÄNERSBORG</t>
        </is>
      </c>
      <c r="I225" t="n">
        <v>2.1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1925-2026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46035</v>
      </c>
      <c r="E226" s="1" t="n">
        <v>46307</v>
      </c>
      <c r="F226" t="inlineStr">
        <is>
          <t>VÄSTRA GÖTALANDS LÄN</t>
        </is>
      </c>
      <c r="G226" t="inlineStr">
        <is>
          <t>VÄNERSBORG</t>
        </is>
      </c>
      <c r="I226" t="n">
        <v>1.6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1933-2026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46035</v>
      </c>
      <c r="E227" s="1" t="n">
        <v>46307</v>
      </c>
      <c r="F227" t="inlineStr">
        <is>
          <t>VÄSTRA GÖTALANDS LÄN</t>
        </is>
      </c>
      <c r="G227" t="inlineStr">
        <is>
          <t>VÄNERSBORG</t>
        </is>
      </c>
      <c r="I227" t="n">
        <v>2.4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20738-2026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46141</v>
      </c>
      <c r="E228" s="1" t="n">
        <v>46307</v>
      </c>
      <c r="F228" t="inlineStr">
        <is>
          <t>VÄSTRA GÖTALANDS LÄN</t>
        </is>
      </c>
      <c r="G228" t="inlineStr">
        <is>
          <t>VÄNERSBORG</t>
        </is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20864-2026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46142</v>
      </c>
      <c r="E229" s="1" t="n">
        <v>46307</v>
      </c>
      <c r="F229" t="inlineStr">
        <is>
          <t>VÄSTRA GÖTALANDS LÄN</t>
        </is>
      </c>
      <c r="G229" t="inlineStr">
        <is>
          <t>VÄNERSBORG</t>
        </is>
      </c>
      <c r="I229" t="n">
        <v>2.4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9289-2026</t>
        </is>
      </c>
      <c r="B230" t="inlineStr">
        <is>
          <t>avverkningsanmälan</t>
        </is>
      </c>
      <c r="C230" t="inlineStr">
        <is>
          <t>Avverkning för annat ändamål</t>
        </is>
      </c>
      <c r="D230" s="1" t="n">
        <v>46070</v>
      </c>
      <c r="E230" s="1" t="n">
        <v>46307</v>
      </c>
      <c r="F230" t="inlineStr">
        <is>
          <t>VÄSTRA GÖTALANDS LÄN</t>
        </is>
      </c>
      <c r="G230" t="inlineStr">
        <is>
          <t>VÄNERSBORG</t>
        </is>
      </c>
      <c r="H230" t="inlineStr">
        <is>
          <t>Kommuner</t>
        </is>
      </c>
      <c r="I230" t="n">
        <v>7.2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22353-2026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46154</v>
      </c>
      <c r="E231" s="1" t="n">
        <v>46307</v>
      </c>
      <c r="F231" t="inlineStr">
        <is>
          <t>VÄSTRA GÖTALANDS LÄN</t>
        </is>
      </c>
      <c r="G231" t="inlineStr">
        <is>
          <t>VÄNERSBORG</t>
        </is>
      </c>
      <c r="I231" t="n">
        <v>1.2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22350-2026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46154</v>
      </c>
      <c r="E232" s="1" t="n">
        <v>46307</v>
      </c>
      <c r="F232" t="inlineStr">
        <is>
          <t>VÄSTRA GÖTALANDS LÄN</t>
        </is>
      </c>
      <c r="G232" t="inlineStr">
        <is>
          <t>VÄNERSBORG</t>
        </is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27867-2025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45817</v>
      </c>
      <c r="E233" s="1" t="n">
        <v>46307</v>
      </c>
      <c r="F233" t="inlineStr">
        <is>
          <t>VÄSTRA GÖTALANDS LÄN</t>
        </is>
      </c>
      <c r="G233" t="inlineStr">
        <is>
          <t>VÄNERSBORG</t>
        </is>
      </c>
      <c r="I233" t="n">
        <v>2.2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1937-2026</t>
        </is>
      </c>
      <c r="B234" t="inlineStr">
        <is>
          <t>avverkningsanmälan</t>
        </is>
      </c>
      <c r="C234" t="inlineStr">
        <is>
          <t>Avverkning för annat ändamål</t>
        </is>
      </c>
      <c r="D234" s="1" t="n">
        <v>46035</v>
      </c>
      <c r="E234" s="1" t="n">
        <v>46307</v>
      </c>
      <c r="F234" t="inlineStr">
        <is>
          <t>VÄSTRA GÖTALANDS LÄN</t>
        </is>
      </c>
      <c r="G234" t="inlineStr">
        <is>
          <t>VÄNERSBORG</t>
        </is>
      </c>
      <c r="H234" t="inlineStr">
        <is>
          <t>Kommuner</t>
        </is>
      </c>
      <c r="I234" t="n">
        <v>2.8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18997-2024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45427</v>
      </c>
      <c r="E235" s="1" t="n">
        <v>46307</v>
      </c>
      <c r="F235" t="inlineStr">
        <is>
          <t>VÄSTRA GÖTALANDS LÄN</t>
        </is>
      </c>
      <c r="G235" t="inlineStr">
        <is>
          <t>VÄNERSBORG</t>
        </is>
      </c>
      <c r="I235" t="n">
        <v>2.9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33915-2023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45134</v>
      </c>
      <c r="E236" s="1" t="n">
        <v>46307</v>
      </c>
      <c r="F236" t="inlineStr">
        <is>
          <t>VÄSTRA GÖTALANDS LÄN</t>
        </is>
      </c>
      <c r="G236" t="inlineStr">
        <is>
          <t>VÄNERSBORG</t>
        </is>
      </c>
      <c r="I236" t="n">
        <v>1.7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23532-2026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46163</v>
      </c>
      <c r="E237" s="1" t="n">
        <v>46307</v>
      </c>
      <c r="F237" t="inlineStr">
        <is>
          <t>VÄSTRA GÖTALANDS LÄN</t>
        </is>
      </c>
      <c r="G237" t="inlineStr">
        <is>
          <t>VÄNERSBORG</t>
        </is>
      </c>
      <c r="I237" t="n">
        <v>2.5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62439-2025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46007</v>
      </c>
      <c r="E238" s="1" t="n">
        <v>46307</v>
      </c>
      <c r="F238" t="inlineStr">
        <is>
          <t>VÄSTRA GÖTALANDS LÄN</t>
        </is>
      </c>
      <c r="G238" t="inlineStr">
        <is>
          <t>VÄNERSBORG</t>
        </is>
      </c>
      <c r="I238" t="n">
        <v>1.4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44583-2025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45917</v>
      </c>
      <c r="E239" s="1" t="n">
        <v>46307</v>
      </c>
      <c r="F239" t="inlineStr">
        <is>
          <t>VÄSTRA GÖTALANDS LÄN</t>
        </is>
      </c>
      <c r="G239" t="inlineStr">
        <is>
          <t>VÄNERSBORG</t>
        </is>
      </c>
      <c r="I239" t="n">
        <v>3.4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24769-2026</t>
        </is>
      </c>
      <c r="B240" t="inlineStr">
        <is>
          <t>avverkningsanmälan</t>
        </is>
      </c>
      <c r="C240" t="inlineStr">
        <is>
          <t>Avverkning för annat ändamål</t>
        </is>
      </c>
      <c r="D240" s="1" t="n">
        <v>46171</v>
      </c>
      <c r="E240" s="1" t="n">
        <v>46307</v>
      </c>
      <c r="F240" t="inlineStr">
        <is>
          <t>VÄSTRA GÖTALANDS LÄN</t>
        </is>
      </c>
      <c r="G240" t="inlineStr">
        <is>
          <t>VÄNERSBORG</t>
        </is>
      </c>
      <c r="I240" t="n">
        <v>6.5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28420-2026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46197</v>
      </c>
      <c r="E241" s="1" t="n">
        <v>46307</v>
      </c>
      <c r="F241" t="inlineStr">
        <is>
          <t>VÄSTRA GÖTALANDS LÄN</t>
        </is>
      </c>
      <c r="G241" t="inlineStr">
        <is>
          <t>VÄNERSBORG</t>
        </is>
      </c>
      <c r="I241" t="n">
        <v>5.3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29365-2026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46203</v>
      </c>
      <c r="E242" s="1" t="n">
        <v>46307</v>
      </c>
      <c r="F242" t="inlineStr">
        <is>
          <t>VÄSTRA GÖTALANDS LÄN</t>
        </is>
      </c>
      <c r="G242" t="inlineStr">
        <is>
          <t>VÄNERSBORG</t>
        </is>
      </c>
      <c r="I242" t="n">
        <v>2.5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30418-2026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46209</v>
      </c>
      <c r="E243" s="1" t="n">
        <v>46307</v>
      </c>
      <c r="F243" t="inlineStr">
        <is>
          <t>VÄSTRA GÖTALANDS LÄN</t>
        </is>
      </c>
      <c r="G243" t="inlineStr">
        <is>
          <t>VÄNERSBORG</t>
        </is>
      </c>
      <c r="I243" t="n">
        <v>8.800000000000001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31386-2026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46220</v>
      </c>
      <c r="E244" s="1" t="n">
        <v>46307</v>
      </c>
      <c r="F244" t="inlineStr">
        <is>
          <t>VÄSTRA GÖTALANDS LÄN</t>
        </is>
      </c>
      <c r="G244" t="inlineStr">
        <is>
          <t>VÄNERSBORG</t>
        </is>
      </c>
      <c r="I244" t="n">
        <v>4.6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31389-2026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46220</v>
      </c>
      <c r="E245" s="1" t="n">
        <v>46307</v>
      </c>
      <c r="F245" t="inlineStr">
        <is>
          <t>VÄSTRA GÖTALANDS LÄN</t>
        </is>
      </c>
      <c r="G245" t="inlineStr">
        <is>
          <t>VÄNERSBORG</t>
        </is>
      </c>
      <c r="I245" t="n">
        <v>3.2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31562-2026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46224</v>
      </c>
      <c r="E246" s="1" t="n">
        <v>46307</v>
      </c>
      <c r="F246" t="inlineStr">
        <is>
          <t>VÄSTRA GÖTALANDS LÄN</t>
        </is>
      </c>
      <c r="G246" t="inlineStr">
        <is>
          <t>VÄNERSBORG</t>
        </is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31564-2026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46224</v>
      </c>
      <c r="E247" s="1" t="n">
        <v>46307</v>
      </c>
      <c r="F247" t="inlineStr">
        <is>
          <t>VÄSTRA GÖTALANDS LÄN</t>
        </is>
      </c>
      <c r="G247" t="inlineStr">
        <is>
          <t>VÄNERSBORG</t>
        </is>
      </c>
      <c r="I247" t="n">
        <v>3.1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32525-2026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46239</v>
      </c>
      <c r="E248" s="1" t="n">
        <v>46307</v>
      </c>
      <c r="F248" t="inlineStr">
        <is>
          <t>VÄSTRA GÖTALANDS LÄN</t>
        </is>
      </c>
      <c r="G248" t="inlineStr">
        <is>
          <t>VÄNERSBORG</t>
        </is>
      </c>
      <c r="I248" t="n">
        <v>11.5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32527-2026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46239</v>
      </c>
      <c r="E249" s="1" t="n">
        <v>46307</v>
      </c>
      <c r="F249" t="inlineStr">
        <is>
          <t>VÄSTRA GÖTALANDS LÄN</t>
        </is>
      </c>
      <c r="G249" t="inlineStr">
        <is>
          <t>VÄNERSBORG</t>
        </is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32532-2026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46239</v>
      </c>
      <c r="E250" s="1" t="n">
        <v>46307</v>
      </c>
      <c r="F250" t="inlineStr">
        <is>
          <t>VÄSTRA GÖTALANDS LÄN</t>
        </is>
      </c>
      <c r="G250" t="inlineStr">
        <is>
          <t>VÄNERSBORG</t>
        </is>
      </c>
      <c r="I250" t="n">
        <v>3.6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38798-2026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46286</v>
      </c>
      <c r="E251" s="1" t="n">
        <v>46307</v>
      </c>
      <c r="F251" t="inlineStr">
        <is>
          <t>VÄSTRA GÖTALANDS LÄN</t>
        </is>
      </c>
      <c r="G251" t="inlineStr">
        <is>
          <t>VÄNERSBORG</t>
        </is>
      </c>
      <c r="I251" t="n">
        <v>2.4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33412-2026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46246</v>
      </c>
      <c r="E252" s="1" t="n">
        <v>46307</v>
      </c>
      <c r="F252" t="inlineStr">
        <is>
          <t>VÄSTRA GÖTALANDS LÄN</t>
        </is>
      </c>
      <c r="G252" t="inlineStr">
        <is>
          <t>VÄNERSBORG</t>
        </is>
      </c>
      <c r="I252" t="n">
        <v>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33354-2026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46247</v>
      </c>
      <c r="E253" s="1" t="n">
        <v>46307</v>
      </c>
      <c r="F253" t="inlineStr">
        <is>
          <t>VÄSTRA GÖTALANDS LÄN</t>
        </is>
      </c>
      <c r="G253" t="inlineStr">
        <is>
          <t>VÄNERSBORG</t>
        </is>
      </c>
      <c r="I253" t="n">
        <v>11.1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37704-2026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46279</v>
      </c>
      <c r="E254" s="1" t="n">
        <v>46307</v>
      </c>
      <c r="F254" t="inlineStr">
        <is>
          <t>VÄSTRA GÖTALANDS LÄN</t>
        </is>
      </c>
      <c r="G254" t="inlineStr">
        <is>
          <t>VÄNERSBORG</t>
        </is>
      </c>
      <c r="I254" t="n">
        <v>0.8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41287-2026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46300</v>
      </c>
      <c r="E255" s="1" t="n">
        <v>46307</v>
      </c>
      <c r="F255" t="inlineStr">
        <is>
          <t>VÄSTRA GÖTALANDS LÄN</t>
        </is>
      </c>
      <c r="G255" t="inlineStr">
        <is>
          <t>VÄNERSBORG</t>
        </is>
      </c>
      <c r="I255" t="n">
        <v>2.3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35551-2026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46262</v>
      </c>
      <c r="E256" s="1" t="n">
        <v>46307</v>
      </c>
      <c r="F256" t="inlineStr">
        <is>
          <t>VÄSTRA GÖTALANDS LÄN</t>
        </is>
      </c>
      <c r="G256" t="inlineStr">
        <is>
          <t>VÄNERSBORG</t>
        </is>
      </c>
      <c r="I256" t="n">
        <v>2.2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S 130-2022</t>
        </is>
      </c>
      <c r="B257" t="inlineStr">
        <is>
          <t>samrådsanmälan</t>
        </is>
      </c>
      <c r="C257" t="inlineStr">
        <is>
          <t>Åtgärd i nyckelbiotop</t>
        </is>
      </c>
      <c r="D257" s="1" t="n">
        <v>44571</v>
      </c>
      <c r="E257" s="1" t="n">
        <v>46307</v>
      </c>
      <c r="F257" t="inlineStr">
        <is>
          <t>VÄSTRA GÖTALANDS LÄN</t>
        </is>
      </c>
      <c r="G257" t="inlineStr">
        <is>
          <t>VÄNERSBORG</t>
        </is>
      </c>
      <c r="I257" t="n">
        <v>0.7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S 1659-2024</t>
        </is>
      </c>
      <c r="B258" t="inlineStr">
        <is>
          <t>samrådsanmälan</t>
        </is>
      </c>
      <c r="C258" t="inlineStr">
        <is>
          <t>Annan skogsbruksåtgärd</t>
        </is>
      </c>
      <c r="D258" s="1" t="n">
        <v>45432</v>
      </c>
      <c r="E258" s="1" t="n">
        <v>46307</v>
      </c>
      <c r="F258" t="inlineStr">
        <is>
          <t>VÄSTRA GÖTALANDS LÄN</t>
        </is>
      </c>
      <c r="G258" t="inlineStr">
        <is>
          <t>VÄNERSBORG</t>
        </is>
      </c>
      <c r="I258" t="n">
        <v>2.5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>
      <c r="A259" t="inlineStr">
        <is>
          <t>S 2050-2025</t>
        </is>
      </c>
      <c r="B259" t="inlineStr">
        <is>
          <t>samrådsanmälan</t>
        </is>
      </c>
      <c r="C259" t="inlineStr">
        <is>
          <t>Annan skogsbruksåtgärd</t>
        </is>
      </c>
      <c r="D259" s="1" t="n">
        <v>45838</v>
      </c>
      <c r="E259" s="1" t="n">
        <v>46307</v>
      </c>
      <c r="F259" t="inlineStr">
        <is>
          <t>VÄSTRA GÖTALANDS LÄN</t>
        </is>
      </c>
      <c r="G259" t="inlineStr">
        <is>
          <t>VÄNERSBORG</t>
        </is>
      </c>
      <c r="I259" t="n">
        <v>2.2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2026-10-12T02:00:34Z</dcterms:created>
  <dcterms:modified xmlns:dcterms="http://purl.org/dc/terms/" xmlns:xsi="http://www.w3.org/2001/XMLSchema-instance" xsi:type="dcterms:W3CDTF">2026-10-12T02:00:35Z</dcterms:modified>
</cp:coreProperties>
</file>