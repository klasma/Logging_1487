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45724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45724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45724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45724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45724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45724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45724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45724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45724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45724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45724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45724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29376-2022</t>
        </is>
      </c>
      <c r="B14" s="1" t="n">
        <v>44753</v>
      </c>
      <c r="C14" s="1" t="n">
        <v>45724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8.300000000000001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HYPERLINK("https://klasma.github.io/Logging_1487/artfynd/A 29376-2022 artfynd.xlsx", "A 29376-2022")</f>
        <v/>
      </c>
      <c r="T14">
        <f>HYPERLINK("https://klasma.github.io/Logging_1487/kartor/A 29376-2022 karta.png", "A 29376-2022")</f>
        <v/>
      </c>
      <c r="V14">
        <f>HYPERLINK("https://klasma.github.io/Logging_1487/klagomål/A 29376-2022 FSC-klagomål.docx", "A 29376-2022")</f>
        <v/>
      </c>
      <c r="W14">
        <f>HYPERLINK("https://klasma.github.io/Logging_1487/klagomålsmail/A 29376-2022 FSC-klagomål mail.docx", "A 29376-2022")</f>
        <v/>
      </c>
      <c r="X14">
        <f>HYPERLINK("https://klasma.github.io/Logging_1487/tillsyn/A 29376-2022 tillsynsbegäran.docx", "A 29376-2022")</f>
        <v/>
      </c>
      <c r="Y14">
        <f>HYPERLINK("https://klasma.github.io/Logging_1487/tillsynsmail/A 29376-2022 tillsynsbegäran mail.docx", "A 29376-2022")</f>
        <v/>
      </c>
    </row>
    <row r="15" ht="15" customHeight="1">
      <c r="A15" t="inlineStr">
        <is>
          <t>A 29369-2022</t>
        </is>
      </c>
      <c r="B15" s="1" t="n">
        <v>44753</v>
      </c>
      <c r="C15" s="1" t="n">
        <v>45724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9.9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HYPERLINK("https://klasma.github.io/Logging_1487/artfynd/A 29369-2022 artfynd.xlsx", "A 29369-2022")</f>
        <v/>
      </c>
      <c r="T15">
        <f>HYPERLINK("https://klasma.github.io/Logging_1487/kartor/A 29369-2022 karta.png", "A 29369-2022")</f>
        <v/>
      </c>
      <c r="V15">
        <f>HYPERLINK("https://klasma.github.io/Logging_1487/klagomål/A 29369-2022 FSC-klagomål.docx", "A 29369-2022")</f>
        <v/>
      </c>
      <c r="W15">
        <f>HYPERLINK("https://klasma.github.io/Logging_1487/klagomålsmail/A 29369-2022 FSC-klagomål mail.docx", "A 29369-2022")</f>
        <v/>
      </c>
      <c r="X15">
        <f>HYPERLINK("https://klasma.github.io/Logging_1487/tillsyn/A 29369-2022 tillsynsbegäran.docx", "A 29369-2022")</f>
        <v/>
      </c>
      <c r="Y15">
        <f>HYPERLINK("https://klasma.github.io/Logging_1487/tillsynsmail/A 29369-2022 tillsynsbegäran mail.docx", "A 29369-2022")</f>
        <v/>
      </c>
    </row>
    <row r="16" ht="15" customHeight="1">
      <c r="A16" t="inlineStr">
        <is>
          <t>A 29375-2022</t>
        </is>
      </c>
      <c r="B16" s="1" t="n">
        <v>44753</v>
      </c>
      <c r="C16" s="1" t="n">
        <v>45724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4.6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Purpurknipprot</t>
        </is>
      </c>
      <c r="S16">
        <f>HYPERLINK("https://klasma.github.io/Logging_1487/artfynd/A 29375-2022 artfynd.xlsx", "A 29375-2022")</f>
        <v/>
      </c>
      <c r="T16">
        <f>HYPERLINK("https://klasma.github.io/Logging_1487/kartor/A 29375-2022 karta.png", "A 29375-2022")</f>
        <v/>
      </c>
      <c r="V16">
        <f>HYPERLINK("https://klasma.github.io/Logging_1487/klagomål/A 29375-2022 FSC-klagomål.docx", "A 29375-2022")</f>
        <v/>
      </c>
      <c r="W16">
        <f>HYPERLINK("https://klasma.github.io/Logging_1487/klagomålsmail/A 29375-2022 FSC-klagomål mail.docx", "A 29375-2022")</f>
        <v/>
      </c>
      <c r="X16">
        <f>HYPERLINK("https://klasma.github.io/Logging_1487/tillsyn/A 29375-2022 tillsynsbegäran.docx", "A 29375-2022")</f>
        <v/>
      </c>
      <c r="Y16">
        <f>HYPERLINK("https://klasma.github.io/Logging_1487/tillsynsmail/A 29375-2022 tillsynsbegäran mail.docx", "A 29375-2022")</f>
        <v/>
      </c>
    </row>
    <row r="17" ht="15" customHeight="1">
      <c r="A17" t="inlineStr">
        <is>
          <t>A 34381-2022</t>
        </is>
      </c>
      <c r="B17" s="1" t="n">
        <v>44792</v>
      </c>
      <c r="C17" s="1" t="n">
        <v>45724</v>
      </c>
      <c r="D17" t="inlineStr">
        <is>
          <t>VÄSTRA GÖTALANDS LÄN</t>
        </is>
      </c>
      <c r="E17" t="inlineStr">
        <is>
          <t>VÄNERSBORG</t>
        </is>
      </c>
      <c r="G17" t="n">
        <v>6.6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HYPERLINK("https://klasma.github.io/Logging_1487/artfynd/A 34381-2022 artfynd.xlsx", "A 34381-2022")</f>
        <v/>
      </c>
      <c r="T17">
        <f>HYPERLINK("https://klasma.github.io/Logging_1487/kartor/A 34381-2022 karta.png", "A 34381-2022")</f>
        <v/>
      </c>
      <c r="V17">
        <f>HYPERLINK("https://klasma.github.io/Logging_1487/klagomål/A 34381-2022 FSC-klagomål.docx", "A 34381-2022")</f>
        <v/>
      </c>
      <c r="W17">
        <f>HYPERLINK("https://klasma.github.io/Logging_1487/klagomålsmail/A 34381-2022 FSC-klagomål mail.docx", "A 34381-2022")</f>
        <v/>
      </c>
      <c r="X17">
        <f>HYPERLINK("https://klasma.github.io/Logging_1487/tillsyn/A 34381-2022 tillsynsbegäran.docx", "A 34381-2022")</f>
        <v/>
      </c>
      <c r="Y17">
        <f>HYPERLINK("https://klasma.github.io/Logging_1487/tillsynsmail/A 34381-2022 tillsynsbegäran mail.docx", "A 34381-2022")</f>
        <v/>
      </c>
    </row>
    <row r="18" ht="15" customHeight="1">
      <c r="A18" t="inlineStr">
        <is>
          <t>A 17341-2023</t>
        </is>
      </c>
      <c r="B18" s="1" t="n">
        <v>45035</v>
      </c>
      <c r="C18" s="1" t="n">
        <v>45724</v>
      </c>
      <c r="D18" t="inlineStr">
        <is>
          <t>VÄSTRA GÖTALANDS LÄN</t>
        </is>
      </c>
      <c r="E18" t="inlineStr">
        <is>
          <t>VÄNERSBORG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Grönsiska</t>
        </is>
      </c>
      <c r="S18">
        <f>HYPERLINK("https://klasma.github.io/Logging_1487/artfynd/A 17341-2023 artfynd.xlsx", "A 17341-2023")</f>
        <v/>
      </c>
      <c r="T18">
        <f>HYPERLINK("https://klasma.github.io/Logging_1487/kartor/A 17341-2023 karta.png", "A 17341-2023")</f>
        <v/>
      </c>
      <c r="V18">
        <f>HYPERLINK("https://klasma.github.io/Logging_1487/klagomål/A 17341-2023 FSC-klagomål.docx", "A 17341-2023")</f>
        <v/>
      </c>
      <c r="W18">
        <f>HYPERLINK("https://klasma.github.io/Logging_1487/klagomålsmail/A 17341-2023 FSC-klagomål mail.docx", "A 17341-2023")</f>
        <v/>
      </c>
      <c r="X18">
        <f>HYPERLINK("https://klasma.github.io/Logging_1487/tillsyn/A 17341-2023 tillsynsbegäran.docx", "A 17341-2023")</f>
        <v/>
      </c>
      <c r="Y18">
        <f>HYPERLINK("https://klasma.github.io/Logging_1487/tillsynsmail/A 17341-2023 tillsynsbegäran mail.docx", "A 17341-2023")</f>
        <v/>
      </c>
      <c r="Z18">
        <f>HYPERLINK("https://klasma.github.io/Logging_1487/fåglar/A 17341-2023 prioriterade fågelarter.docx", "A 17341-2023")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45724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45724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45724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45724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45724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11709-2024</t>
        </is>
      </c>
      <c r="B24" s="1" t="n">
        <v>45373</v>
      </c>
      <c r="C24" s="1" t="n">
        <v>45724</v>
      </c>
      <c r="D24" t="inlineStr">
        <is>
          <t>VÄSTRA GÖTALANDS LÄN</t>
        </is>
      </c>
      <c r="E24" t="inlineStr">
        <is>
          <t>VÄNERSBORG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HYPERLINK("https://klasma.github.io/Logging_1487/artfynd/A 11709-2024 artfynd.xlsx", "A 11709-2024")</f>
        <v/>
      </c>
      <c r="T24">
        <f>HYPERLINK("https://klasma.github.io/Logging_1487/kartor/A 11709-2024 karta.png", "A 11709-2024")</f>
        <v/>
      </c>
      <c r="V24">
        <f>HYPERLINK("https://klasma.github.io/Logging_1487/klagomål/A 11709-2024 FSC-klagomål.docx", "A 11709-2024")</f>
        <v/>
      </c>
      <c r="W24">
        <f>HYPERLINK("https://klasma.github.io/Logging_1487/klagomålsmail/A 11709-2024 FSC-klagomål mail.docx", "A 11709-2024")</f>
        <v/>
      </c>
      <c r="X24">
        <f>HYPERLINK("https://klasma.github.io/Logging_1487/tillsyn/A 11709-2024 tillsynsbegäran.docx", "A 11709-2024")</f>
        <v/>
      </c>
      <c r="Y24">
        <f>HYPERLINK("https://klasma.github.io/Logging_1487/tillsynsmail/A 11709-2024 tillsynsbegäran mail.docx", "A 11709-2024")</f>
        <v/>
      </c>
    </row>
    <row r="25" ht="15" customHeight="1">
      <c r="A25" t="inlineStr">
        <is>
          <t>A 55130-2024</t>
        </is>
      </c>
      <c r="B25" s="1" t="n">
        <v>45618</v>
      </c>
      <c r="C25" s="1" t="n">
        <v>45724</v>
      </c>
      <c r="D25" t="inlineStr">
        <is>
          <t>VÄSTRA GÖTALANDS LÄN</t>
        </is>
      </c>
      <c r="E25" t="inlineStr">
        <is>
          <t>VÄNERSBORG</t>
        </is>
      </c>
      <c r="F25" t="inlineStr">
        <is>
          <t>Kommuner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HYPERLINK("https://klasma.github.io/Logging_1487/artfynd/A 55130-2024 artfynd.xlsx", "A 55130-2024")</f>
        <v/>
      </c>
      <c r="T25">
        <f>HYPERLINK("https://klasma.github.io/Logging_1487/kartor/A 55130-2024 karta.png", "A 55130-2024")</f>
        <v/>
      </c>
      <c r="V25">
        <f>HYPERLINK("https://klasma.github.io/Logging_1487/klagomål/A 55130-2024 FSC-klagomål.docx", "A 55130-2024")</f>
        <v/>
      </c>
      <c r="W25">
        <f>HYPERLINK("https://klasma.github.io/Logging_1487/klagomålsmail/A 55130-2024 FSC-klagomål mail.docx", "A 55130-2024")</f>
        <v/>
      </c>
      <c r="X25">
        <f>HYPERLINK("https://klasma.github.io/Logging_1487/tillsyn/A 55130-2024 tillsynsbegäran.docx", "A 55130-2024")</f>
        <v/>
      </c>
      <c r="Y25">
        <f>HYPERLINK("https://klasma.github.io/Logging_1487/tillsynsmail/A 55130-2024 tillsynsbegäran mail.docx", "A 55130-2024")</f>
        <v/>
      </c>
    </row>
    <row r="26" ht="15" customHeight="1">
      <c r="A26" t="inlineStr">
        <is>
          <t>A 56496-2024</t>
        </is>
      </c>
      <c r="B26" s="1" t="n">
        <v>45625</v>
      </c>
      <c r="C26" s="1" t="n">
        <v>45724</v>
      </c>
      <c r="D26" t="inlineStr">
        <is>
          <t>VÄSTRA GÖTALANDS LÄN</t>
        </is>
      </c>
      <c r="E26" t="inlineStr">
        <is>
          <t>VÄNERSBORG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HYPERLINK("https://klasma.github.io/Logging_1487/artfynd/A 56496-2024 artfynd.xlsx", "A 56496-2024")</f>
        <v/>
      </c>
      <c r="T26">
        <f>HYPERLINK("https://klasma.github.io/Logging_1487/kartor/A 56496-2024 karta.png", "A 56496-2024")</f>
        <v/>
      </c>
      <c r="V26">
        <f>HYPERLINK("https://klasma.github.io/Logging_1487/klagomål/A 56496-2024 FSC-klagomål.docx", "A 56496-2024")</f>
        <v/>
      </c>
      <c r="W26">
        <f>HYPERLINK("https://klasma.github.io/Logging_1487/klagomålsmail/A 56496-2024 FSC-klagomål mail.docx", "A 56496-2024")</f>
        <v/>
      </c>
      <c r="X26">
        <f>HYPERLINK("https://klasma.github.io/Logging_1487/tillsyn/A 56496-2024 tillsynsbegäran.docx", "A 56496-2024")</f>
        <v/>
      </c>
      <c r="Y26">
        <f>HYPERLINK("https://klasma.github.io/Logging_1487/tillsynsmail/A 56496-2024 tillsynsbegäran mail.docx", "A 56496-2024")</f>
        <v/>
      </c>
    </row>
    <row r="27" ht="15" customHeight="1">
      <c r="A27" t="inlineStr">
        <is>
          <t>A 24962-2019</t>
        </is>
      </c>
      <c r="B27" s="1" t="n">
        <v>43602</v>
      </c>
      <c r="C27" s="1" t="n">
        <v>45724</v>
      </c>
      <c r="D27" t="inlineStr">
        <is>
          <t>VÄSTRA GÖTALANDS LÄN</t>
        </is>
      </c>
      <c r="E27" t="inlineStr">
        <is>
          <t>VÄNERSBORG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24956-2019</t>
        </is>
      </c>
      <c r="B28" s="1" t="n">
        <v>43602</v>
      </c>
      <c r="C28" s="1" t="n">
        <v>45724</v>
      </c>
      <c r="D28" t="inlineStr">
        <is>
          <t>VÄSTRA GÖTALANDS LÄN</t>
        </is>
      </c>
      <c r="E28" t="inlineStr">
        <is>
          <t>VÄNERSBORG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25444-2019</t>
        </is>
      </c>
      <c r="B29" s="1" t="n">
        <v>43606</v>
      </c>
      <c r="C29" s="1" t="n">
        <v>45724</v>
      </c>
      <c r="D29" t="inlineStr">
        <is>
          <t>VÄSTRA GÖTALANDS LÄN</t>
        </is>
      </c>
      <c r="E29" t="inlineStr">
        <is>
          <t>VÄNERSBORG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27871-2019</t>
        </is>
      </c>
      <c r="B30" s="1" t="n">
        <v>43620</v>
      </c>
      <c r="C30" s="1" t="n">
        <v>45724</v>
      </c>
      <c r="D30" t="inlineStr">
        <is>
          <t>VÄSTRA GÖTALANDS LÄN</t>
        </is>
      </c>
      <c r="E30" t="inlineStr">
        <is>
          <t>VÄNERSBORG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27874-2019</t>
        </is>
      </c>
      <c r="B31" s="1" t="n">
        <v>43620</v>
      </c>
      <c r="C31" s="1" t="n">
        <v>45724</v>
      </c>
      <c r="D31" t="inlineStr">
        <is>
          <t>VÄSTRA GÖTALANDS LÄN</t>
        </is>
      </c>
      <c r="E31" t="inlineStr">
        <is>
          <t>VÄNERSBORG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34599-2019</t>
        </is>
      </c>
      <c r="B32" s="1" t="n">
        <v>43647</v>
      </c>
      <c r="C32" s="1" t="n">
        <v>45724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34592-2019</t>
        </is>
      </c>
      <c r="B33" s="1" t="n">
        <v>43647</v>
      </c>
      <c r="C33" s="1" t="n">
        <v>45724</v>
      </c>
      <c r="D33" t="inlineStr">
        <is>
          <t>VÄSTRA GÖTALANDS LÄN</t>
        </is>
      </c>
      <c r="E33" t="inlineStr">
        <is>
          <t>VÄNERSBORG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35241-2019</t>
        </is>
      </c>
      <c r="B34" s="1" t="n">
        <v>43662</v>
      </c>
      <c r="C34" s="1" t="n">
        <v>45724</v>
      </c>
      <c r="D34" t="inlineStr">
        <is>
          <t>VÄSTRA GÖTALANDS LÄN</t>
        </is>
      </c>
      <c r="E34" t="inlineStr">
        <is>
          <t>VÄNERSBORG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35239-2019</t>
        </is>
      </c>
      <c r="B35" s="1" t="n">
        <v>43662</v>
      </c>
      <c r="C35" s="1" t="n">
        <v>45724</v>
      </c>
      <c r="D35" t="inlineStr">
        <is>
          <t>VÄSTRA GÖTALANDS LÄN</t>
        </is>
      </c>
      <c r="E35" t="inlineStr">
        <is>
          <t>VÄNERSBORG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35240-2019</t>
        </is>
      </c>
      <c r="B36" s="1" t="n">
        <v>43662</v>
      </c>
      <c r="C36" s="1" t="n">
        <v>45724</v>
      </c>
      <c r="D36" t="inlineStr">
        <is>
          <t>VÄSTRA GÖTALANDS LÄN</t>
        </is>
      </c>
      <c r="E36" t="inlineStr">
        <is>
          <t>VÄNERSBORG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35372-2019</t>
        </is>
      </c>
      <c r="B37" s="1" t="n">
        <v>43663</v>
      </c>
      <c r="C37" s="1" t="n">
        <v>45724</v>
      </c>
      <c r="D37" t="inlineStr">
        <is>
          <t>VÄSTRA GÖTALANDS LÄN</t>
        </is>
      </c>
      <c r="E37" t="inlineStr">
        <is>
          <t>VÄNERSBORG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38947-2019</t>
        </is>
      </c>
      <c r="B38" s="1" t="n">
        <v>43689</v>
      </c>
      <c r="C38" s="1" t="n">
        <v>45724</v>
      </c>
      <c r="D38" t="inlineStr">
        <is>
          <t>VÄSTRA GÖTALANDS LÄN</t>
        </is>
      </c>
      <c r="E38" t="inlineStr">
        <is>
          <t>VÄNERSBORG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39254-2019</t>
        </is>
      </c>
      <c r="B39" s="1" t="n">
        <v>43690</v>
      </c>
      <c r="C39" s="1" t="n">
        <v>45724</v>
      </c>
      <c r="D39" t="inlineStr">
        <is>
          <t>VÄSTRA GÖTALANDS LÄN</t>
        </is>
      </c>
      <c r="E39" t="inlineStr">
        <is>
          <t>VÄNERSBORG</t>
        </is>
      </c>
      <c r="F39" t="inlineStr">
        <is>
          <t>Kommuner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42509-2019</t>
        </is>
      </c>
      <c r="B40" s="1" t="n">
        <v>43699</v>
      </c>
      <c r="C40" s="1" t="n">
        <v>45724</v>
      </c>
      <c r="D40" t="inlineStr">
        <is>
          <t>VÄSTRA GÖTALANDS LÄN</t>
        </is>
      </c>
      <c r="E40" t="inlineStr">
        <is>
          <t>VÄNERSBORG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42515-2019</t>
        </is>
      </c>
      <c r="B41" s="1" t="n">
        <v>43699</v>
      </c>
      <c r="C41" s="1" t="n">
        <v>45724</v>
      </c>
      <c r="D41" t="inlineStr">
        <is>
          <t>VÄSTRA GÖTALANDS LÄN</t>
        </is>
      </c>
      <c r="E41" t="inlineStr">
        <is>
          <t>VÄNERSBORG</t>
        </is>
      </c>
      <c r="G41" t="n">
        <v>9.5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41948-2019</t>
        </is>
      </c>
      <c r="B42" s="1" t="n">
        <v>43700</v>
      </c>
      <c r="C42" s="1" t="n">
        <v>45724</v>
      </c>
      <c r="D42" t="inlineStr">
        <is>
          <t>VÄSTRA GÖTALANDS LÄN</t>
        </is>
      </c>
      <c r="E42" t="inlineStr">
        <is>
          <t>VÄNERSBORG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49938-2019</t>
        </is>
      </c>
      <c r="B43" s="1" t="n">
        <v>43733</v>
      </c>
      <c r="C43" s="1" t="n">
        <v>45724</v>
      </c>
      <c r="D43" t="inlineStr">
        <is>
          <t>VÄSTRA GÖTALANDS LÄN</t>
        </is>
      </c>
      <c r="E43" t="inlineStr">
        <is>
          <t>VÄNERSBORG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49936-2019</t>
        </is>
      </c>
      <c r="B44" s="1" t="n">
        <v>43733</v>
      </c>
      <c r="C44" s="1" t="n">
        <v>45724</v>
      </c>
      <c r="D44" t="inlineStr">
        <is>
          <t>VÄSTRA GÖTALANDS LÄN</t>
        </is>
      </c>
      <c r="E44" t="inlineStr">
        <is>
          <t>VÄNERSBORG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52916-2019</t>
        </is>
      </c>
      <c r="B45" s="1" t="n">
        <v>43746</v>
      </c>
      <c r="C45" s="1" t="n">
        <v>45724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52911-2019</t>
        </is>
      </c>
      <c r="B46" s="1" t="n">
        <v>43746</v>
      </c>
      <c r="C46" s="1" t="n">
        <v>45724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52912-2019</t>
        </is>
      </c>
      <c r="B47" s="1" t="n">
        <v>43746</v>
      </c>
      <c r="C47" s="1" t="n">
        <v>45724</v>
      </c>
      <c r="D47" t="inlineStr">
        <is>
          <t>VÄSTRA GÖTALANDS LÄN</t>
        </is>
      </c>
      <c r="E47" t="inlineStr">
        <is>
          <t>VÄNERSBORG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53808-2019</t>
        </is>
      </c>
      <c r="B48" s="1" t="n">
        <v>43751</v>
      </c>
      <c r="C48" s="1" t="n">
        <v>45724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55760-2019</t>
        </is>
      </c>
      <c r="B49" s="1" t="n">
        <v>43759</v>
      </c>
      <c r="C49" s="1" t="n">
        <v>45724</v>
      </c>
      <c r="D49" t="inlineStr">
        <is>
          <t>VÄSTRA GÖTALANDS LÄN</t>
        </is>
      </c>
      <c r="E49" t="inlineStr">
        <is>
          <t>VÄNERSBORG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57008-2019</t>
        </is>
      </c>
      <c r="B50" s="1" t="n">
        <v>43766</v>
      </c>
      <c r="C50" s="1" t="n">
        <v>45724</v>
      </c>
      <c r="D50" t="inlineStr">
        <is>
          <t>VÄSTRA GÖTALANDS LÄN</t>
        </is>
      </c>
      <c r="E50" t="inlineStr">
        <is>
          <t>VÄNERSBORG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61982-2019</t>
        </is>
      </c>
      <c r="B51" s="1" t="n">
        <v>43787</v>
      </c>
      <c r="C51" s="1" t="n">
        <v>45724</v>
      </c>
      <c r="D51" t="inlineStr">
        <is>
          <t>VÄSTRA GÖTALANDS LÄN</t>
        </is>
      </c>
      <c r="E51" t="inlineStr">
        <is>
          <t>VÄNERSBORG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65712-2019</t>
        </is>
      </c>
      <c r="B52" s="1" t="n">
        <v>43804</v>
      </c>
      <c r="C52" s="1" t="n">
        <v>45724</v>
      </c>
      <c r="D52" t="inlineStr">
        <is>
          <t>VÄSTRA GÖTALANDS LÄN</t>
        </is>
      </c>
      <c r="E52" t="inlineStr">
        <is>
          <t>VÄNERSBORG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67177-2019</t>
        </is>
      </c>
      <c r="B53" s="1" t="n">
        <v>43811</v>
      </c>
      <c r="C53" s="1" t="n">
        <v>45724</v>
      </c>
      <c r="D53" t="inlineStr">
        <is>
          <t>VÄSTRA GÖTALANDS LÄN</t>
        </is>
      </c>
      <c r="E53" t="inlineStr">
        <is>
          <t>VÄNERSBORG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67890-2019</t>
        </is>
      </c>
      <c r="B54" s="1" t="n">
        <v>43816</v>
      </c>
      <c r="C54" s="1" t="n">
        <v>45724</v>
      </c>
      <c r="D54" t="inlineStr">
        <is>
          <t>VÄSTRA GÖTALANDS LÄN</t>
        </is>
      </c>
      <c r="E54" t="inlineStr">
        <is>
          <t>VÄNERSBORG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69134-2019</t>
        </is>
      </c>
      <c r="B55" s="1" t="n">
        <v>43829</v>
      </c>
      <c r="C55" s="1" t="n">
        <v>45724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3267-2020</t>
        </is>
      </c>
      <c r="B56" s="1" t="n">
        <v>43844</v>
      </c>
      <c r="C56" s="1" t="n">
        <v>45724</v>
      </c>
      <c r="D56" t="inlineStr">
        <is>
          <t>VÄSTRA GÖTALANDS LÄN</t>
        </is>
      </c>
      <c r="E56" t="inlineStr">
        <is>
          <t>VÄNERSBORG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2148-2020</t>
        </is>
      </c>
      <c r="B57" s="1" t="n">
        <v>43846</v>
      </c>
      <c r="C57" s="1" t="n">
        <v>45724</v>
      </c>
      <c r="D57" t="inlineStr">
        <is>
          <t>VÄSTRA GÖTALANDS LÄN</t>
        </is>
      </c>
      <c r="E57" t="inlineStr">
        <is>
          <t>VÄNERSBORG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2981-2020</t>
        </is>
      </c>
      <c r="B58" s="1" t="n">
        <v>43850</v>
      </c>
      <c r="C58" s="1" t="n">
        <v>45724</v>
      </c>
      <c r="D58" t="inlineStr">
        <is>
          <t>VÄSTRA GÖTALANDS LÄN</t>
        </is>
      </c>
      <c r="E58" t="inlineStr">
        <is>
          <t>VÄNERSBORG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5617-2020</t>
        </is>
      </c>
      <c r="B59" s="1" t="n">
        <v>43860</v>
      </c>
      <c r="C59" s="1" t="n">
        <v>45724</v>
      </c>
      <c r="D59" t="inlineStr">
        <is>
          <t>VÄSTRA GÖTALANDS LÄN</t>
        </is>
      </c>
      <c r="E59" t="inlineStr">
        <is>
          <t>VÄNERSBORG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6686-2020</t>
        </is>
      </c>
      <c r="B60" s="1" t="n">
        <v>43865</v>
      </c>
      <c r="C60" s="1" t="n">
        <v>45724</v>
      </c>
      <c r="D60" t="inlineStr">
        <is>
          <t>VÄSTRA GÖTALANDS LÄN</t>
        </is>
      </c>
      <c r="E60" t="inlineStr">
        <is>
          <t>VÄNERSBORG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6893-2020</t>
        </is>
      </c>
      <c r="B61" s="1" t="n">
        <v>43867</v>
      </c>
      <c r="C61" s="1" t="n">
        <v>45724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8006-2020</t>
        </is>
      </c>
      <c r="B62" s="1" t="n">
        <v>43873</v>
      </c>
      <c r="C62" s="1" t="n">
        <v>45724</v>
      </c>
      <c r="D62" t="inlineStr">
        <is>
          <t>VÄSTRA GÖTALANDS LÄN</t>
        </is>
      </c>
      <c r="E62" t="inlineStr">
        <is>
          <t>VÄNERSBORG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8003-2020</t>
        </is>
      </c>
      <c r="B63" s="1" t="n">
        <v>43873</v>
      </c>
      <c r="C63" s="1" t="n">
        <v>45724</v>
      </c>
      <c r="D63" t="inlineStr">
        <is>
          <t>VÄSTRA GÖTALANDS LÄN</t>
        </is>
      </c>
      <c r="E63" t="inlineStr">
        <is>
          <t>VÄNERSBORG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9142-2020</t>
        </is>
      </c>
      <c r="B64" s="1" t="n">
        <v>43879</v>
      </c>
      <c r="C64" s="1" t="n">
        <v>45724</v>
      </c>
      <c r="D64" t="inlineStr">
        <is>
          <t>VÄSTRA GÖTALANDS LÄN</t>
        </is>
      </c>
      <c r="E64" t="inlineStr">
        <is>
          <t>VÄNERSBORG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9155-2020</t>
        </is>
      </c>
      <c r="B65" s="1" t="n">
        <v>43879</v>
      </c>
      <c r="C65" s="1" t="n">
        <v>45724</v>
      </c>
      <c r="D65" t="inlineStr">
        <is>
          <t>VÄSTRA GÖTALANDS LÄN</t>
        </is>
      </c>
      <c r="E65" t="inlineStr">
        <is>
          <t>VÄNERSBORG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20349-2020</t>
        </is>
      </c>
      <c r="B66" s="1" t="n">
        <v>43945</v>
      </c>
      <c r="C66" s="1" t="n">
        <v>45724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20743-2020</t>
        </is>
      </c>
      <c r="B67" s="1" t="n">
        <v>43949</v>
      </c>
      <c r="C67" s="1" t="n">
        <v>45724</v>
      </c>
      <c r="D67" t="inlineStr">
        <is>
          <t>VÄSTRA GÖTALANDS LÄN</t>
        </is>
      </c>
      <c r="E67" t="inlineStr">
        <is>
          <t>VÄNERSBORG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25602-2020</t>
        </is>
      </c>
      <c r="B68" s="1" t="n">
        <v>43983</v>
      </c>
      <c r="C68" s="1" t="n">
        <v>45724</v>
      </c>
      <c r="D68" t="inlineStr">
        <is>
          <t>VÄSTRA GÖTALANDS LÄN</t>
        </is>
      </c>
      <c r="E68" t="inlineStr">
        <is>
          <t>VÄNERSBORG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28066-2020</t>
        </is>
      </c>
      <c r="B69" s="1" t="n">
        <v>43997</v>
      </c>
      <c r="C69" s="1" t="n">
        <v>45724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Kommuner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29436-2020</t>
        </is>
      </c>
      <c r="B70" s="1" t="n">
        <v>44004</v>
      </c>
      <c r="C70" s="1" t="n">
        <v>45724</v>
      </c>
      <c r="D70" t="inlineStr">
        <is>
          <t>VÄSTRA GÖTALANDS LÄN</t>
        </is>
      </c>
      <c r="E70" t="inlineStr">
        <is>
          <t>VÄNERSBORG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30614-2020</t>
        </is>
      </c>
      <c r="B71" s="1" t="n">
        <v>44008</v>
      </c>
      <c r="C71" s="1" t="n">
        <v>45724</v>
      </c>
      <c r="D71" t="inlineStr">
        <is>
          <t>VÄSTRA GÖTALANDS LÄN</t>
        </is>
      </c>
      <c r="E71" t="inlineStr">
        <is>
          <t>VÄNERSBORG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31128-2020</t>
        </is>
      </c>
      <c r="B72" s="1" t="n">
        <v>44012</v>
      </c>
      <c r="C72" s="1" t="n">
        <v>45724</v>
      </c>
      <c r="D72" t="inlineStr">
        <is>
          <t>VÄSTRA GÖTALANDS LÄN</t>
        </is>
      </c>
      <c r="E72" t="inlineStr">
        <is>
          <t>VÄNERSBORG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31879-2020</t>
        </is>
      </c>
      <c r="B73" s="1" t="n">
        <v>44014</v>
      </c>
      <c r="C73" s="1" t="n">
        <v>45724</v>
      </c>
      <c r="D73" t="inlineStr">
        <is>
          <t>VÄSTRA GÖTALANDS LÄN</t>
        </is>
      </c>
      <c r="E73" t="inlineStr">
        <is>
          <t>VÄNERSBORG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33084-2020</t>
        </is>
      </c>
      <c r="B74" s="1" t="n">
        <v>44021</v>
      </c>
      <c r="C74" s="1" t="n">
        <v>45724</v>
      </c>
      <c r="D74" t="inlineStr">
        <is>
          <t>VÄSTRA GÖTALANDS LÄN</t>
        </is>
      </c>
      <c r="E74" t="inlineStr">
        <is>
          <t>VÄNERSBORG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33674-2020</t>
        </is>
      </c>
      <c r="B75" s="1" t="n">
        <v>44026</v>
      </c>
      <c r="C75" s="1" t="n">
        <v>45724</v>
      </c>
      <c r="D75" t="inlineStr">
        <is>
          <t>VÄSTRA GÖTALANDS LÄN</t>
        </is>
      </c>
      <c r="E75" t="inlineStr">
        <is>
          <t>VÄNERSBORG</t>
        </is>
      </c>
      <c r="G75" t="n">
        <v>11.2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38320-2020</t>
        </is>
      </c>
      <c r="B76" s="1" t="n">
        <v>44060</v>
      </c>
      <c r="C76" s="1" t="n">
        <v>45724</v>
      </c>
      <c r="D76" t="inlineStr">
        <is>
          <t>VÄSTRA GÖTALANDS LÄN</t>
        </is>
      </c>
      <c r="E76" t="inlineStr">
        <is>
          <t>VÄNERSBORG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40580-2020</t>
        </is>
      </c>
      <c r="B77" s="1" t="n">
        <v>44069</v>
      </c>
      <c r="C77" s="1" t="n">
        <v>45724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44627-2020</t>
        </is>
      </c>
      <c r="B78" s="1" t="n">
        <v>44085</v>
      </c>
      <c r="C78" s="1" t="n">
        <v>45724</v>
      </c>
      <c r="D78" t="inlineStr">
        <is>
          <t>VÄSTRA GÖTALANDS LÄN</t>
        </is>
      </c>
      <c r="E78" t="inlineStr">
        <is>
          <t>VÄNERSBORG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44625-2020</t>
        </is>
      </c>
      <c r="B79" s="1" t="n">
        <v>44085</v>
      </c>
      <c r="C79" s="1" t="n">
        <v>45724</v>
      </c>
      <c r="D79" t="inlineStr">
        <is>
          <t>VÄSTRA GÖTALANDS LÄN</t>
        </is>
      </c>
      <c r="E79" t="inlineStr">
        <is>
          <t>VÄNERSBORG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53193-2020</t>
        </is>
      </c>
      <c r="B80" s="1" t="n">
        <v>44122</v>
      </c>
      <c r="C80" s="1" t="n">
        <v>45724</v>
      </c>
      <c r="D80" t="inlineStr">
        <is>
          <t>VÄSTRA GÖTALANDS LÄN</t>
        </is>
      </c>
      <c r="E80" t="inlineStr">
        <is>
          <t>VÄNERSBORG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53194-2020</t>
        </is>
      </c>
      <c r="B81" s="1" t="n">
        <v>44122</v>
      </c>
      <c r="C81" s="1" t="n">
        <v>45724</v>
      </c>
      <c r="D81" t="inlineStr">
        <is>
          <t>VÄSTRA GÖTALANDS LÄN</t>
        </is>
      </c>
      <c r="E81" t="inlineStr">
        <is>
          <t>VÄNERSBORG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54904-2020</t>
        </is>
      </c>
      <c r="B82" s="1" t="n">
        <v>44128</v>
      </c>
      <c r="C82" s="1" t="n">
        <v>45724</v>
      </c>
      <c r="D82" t="inlineStr">
        <is>
          <t>VÄSTRA GÖTALANDS LÄN</t>
        </is>
      </c>
      <c r="E82" t="inlineStr">
        <is>
          <t>VÄNERSBORG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58052-2020</t>
        </is>
      </c>
      <c r="B83" s="1" t="n">
        <v>44144</v>
      </c>
      <c r="C83" s="1" t="n">
        <v>45724</v>
      </c>
      <c r="D83" t="inlineStr">
        <is>
          <t>VÄSTRA GÖTALANDS LÄN</t>
        </is>
      </c>
      <c r="E83" t="inlineStr">
        <is>
          <t>VÄNERSBORG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58519-2020</t>
        </is>
      </c>
      <c r="B84" s="1" t="n">
        <v>44144</v>
      </c>
      <c r="C84" s="1" t="n">
        <v>45724</v>
      </c>
      <c r="D84" t="inlineStr">
        <is>
          <t>VÄSTRA GÖTALANDS LÄN</t>
        </is>
      </c>
      <c r="E84" t="inlineStr">
        <is>
          <t>VÄNERSBORG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63245-2020</t>
        </is>
      </c>
      <c r="B85" s="1" t="n">
        <v>44164</v>
      </c>
      <c r="C85" s="1" t="n">
        <v>45724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64094-2020</t>
        </is>
      </c>
      <c r="B86" s="1" t="n">
        <v>44165</v>
      </c>
      <c r="C86" s="1" t="n">
        <v>45724</v>
      </c>
      <c r="D86" t="inlineStr">
        <is>
          <t>VÄSTRA GÖTALANDS LÄN</t>
        </is>
      </c>
      <c r="E86" t="inlineStr">
        <is>
          <t>VÄNERSBORG</t>
        </is>
      </c>
      <c r="G86" t="n">
        <v>21.3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65424-2020</t>
        </is>
      </c>
      <c r="B87" s="1" t="n">
        <v>44173</v>
      </c>
      <c r="C87" s="1" t="n">
        <v>45724</v>
      </c>
      <c r="D87" t="inlineStr">
        <is>
          <t>VÄSTRA GÖTALANDS LÄN</t>
        </is>
      </c>
      <c r="E87" t="inlineStr">
        <is>
          <t>VÄNERSBORG</t>
        </is>
      </c>
      <c r="F87" t="inlineStr">
        <is>
          <t>Sveaskog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68411-2020</t>
        </is>
      </c>
      <c r="B88" s="1" t="n">
        <v>44182</v>
      </c>
      <c r="C88" s="1" t="n">
        <v>45724</v>
      </c>
      <c r="D88" t="inlineStr">
        <is>
          <t>VÄSTRA GÖTALANDS LÄN</t>
        </is>
      </c>
      <c r="E88" t="inlineStr">
        <is>
          <t>VÄNERSBORG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69579-2020</t>
        </is>
      </c>
      <c r="B89" s="1" t="n">
        <v>44195</v>
      </c>
      <c r="C89" s="1" t="n">
        <v>45724</v>
      </c>
      <c r="D89" t="inlineStr">
        <is>
          <t>VÄSTRA GÖTALANDS LÄN</t>
        </is>
      </c>
      <c r="E89" t="inlineStr">
        <is>
          <t>VÄNERSBORG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2463-2021</t>
        </is>
      </c>
      <c r="B90" s="1" t="n">
        <v>44214</v>
      </c>
      <c r="C90" s="1" t="n">
        <v>45724</v>
      </c>
      <c r="D90" t="inlineStr">
        <is>
          <t>VÄSTRA GÖTALANDS LÄN</t>
        </is>
      </c>
      <c r="E90" t="inlineStr">
        <is>
          <t>VÄNERSBORG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2636-2021</t>
        </is>
      </c>
      <c r="B91" s="1" t="n">
        <v>44215</v>
      </c>
      <c r="C91" s="1" t="n">
        <v>45724</v>
      </c>
      <c r="D91" t="inlineStr">
        <is>
          <t>VÄSTRA GÖTALANDS LÄN</t>
        </is>
      </c>
      <c r="E91" t="inlineStr">
        <is>
          <t>VÄNERSBORG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2637-2021</t>
        </is>
      </c>
      <c r="B92" s="1" t="n">
        <v>44215</v>
      </c>
      <c r="C92" s="1" t="n">
        <v>45724</v>
      </c>
      <c r="D92" t="inlineStr">
        <is>
          <t>VÄSTRA GÖTALANDS LÄN</t>
        </is>
      </c>
      <c r="E92" t="inlineStr">
        <is>
          <t>VÄNERSBORG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4816-2021</t>
        </is>
      </c>
      <c r="B93" s="1" t="n">
        <v>44225</v>
      </c>
      <c r="C93" s="1" t="n">
        <v>45724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Bergvik skog väst AB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5285-2021</t>
        </is>
      </c>
      <c r="B94" s="1" t="n">
        <v>44229</v>
      </c>
      <c r="C94" s="1" t="n">
        <v>45724</v>
      </c>
      <c r="D94" t="inlineStr">
        <is>
          <t>VÄSTRA GÖTALANDS LÄN</t>
        </is>
      </c>
      <c r="E94" t="inlineStr">
        <is>
          <t>VÄNERSBORG</t>
        </is>
      </c>
      <c r="G94" t="n">
        <v>16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5820-2021</t>
        </is>
      </c>
      <c r="B95" s="1" t="n">
        <v>44229</v>
      </c>
      <c r="C95" s="1" t="n">
        <v>45724</v>
      </c>
      <c r="D95" t="inlineStr">
        <is>
          <t>VÄSTRA GÖTALANDS LÄN</t>
        </is>
      </c>
      <c r="E95" t="inlineStr">
        <is>
          <t>VÄNERSBORG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5932-2021</t>
        </is>
      </c>
      <c r="B96" s="1" t="n">
        <v>44229</v>
      </c>
      <c r="C96" s="1" t="n">
        <v>45724</v>
      </c>
      <c r="D96" t="inlineStr">
        <is>
          <t>VÄSTRA GÖTALANDS LÄN</t>
        </is>
      </c>
      <c r="E96" t="inlineStr">
        <is>
          <t>VÄNERSBORG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5720-2021</t>
        </is>
      </c>
      <c r="B97" s="1" t="n">
        <v>44229</v>
      </c>
      <c r="C97" s="1" t="n">
        <v>45724</v>
      </c>
      <c r="D97" t="inlineStr">
        <is>
          <t>VÄSTRA GÖTALANDS LÄN</t>
        </is>
      </c>
      <c r="E97" t="inlineStr">
        <is>
          <t>VÄNERSBORG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6056-2021</t>
        </is>
      </c>
      <c r="B98" s="1" t="n">
        <v>44231</v>
      </c>
      <c r="C98" s="1" t="n">
        <v>45724</v>
      </c>
      <c r="D98" t="inlineStr">
        <is>
          <t>VÄSTRA GÖTALANDS LÄN</t>
        </is>
      </c>
      <c r="E98" t="inlineStr">
        <is>
          <t>VÄNERSBORG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6469-2021</t>
        </is>
      </c>
      <c r="B99" s="1" t="n">
        <v>44235</v>
      </c>
      <c r="C99" s="1" t="n">
        <v>45724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6477-2021</t>
        </is>
      </c>
      <c r="B100" s="1" t="n">
        <v>44235</v>
      </c>
      <c r="C100" s="1" t="n">
        <v>45724</v>
      </c>
      <c r="D100" t="inlineStr">
        <is>
          <t>VÄSTRA GÖTALANDS LÄN</t>
        </is>
      </c>
      <c r="E100" t="inlineStr">
        <is>
          <t>VÄNERSBORG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6550-2021</t>
        </is>
      </c>
      <c r="B101" s="1" t="n">
        <v>44236</v>
      </c>
      <c r="C101" s="1" t="n">
        <v>45724</v>
      </c>
      <c r="D101" t="inlineStr">
        <is>
          <t>VÄSTRA GÖTALANDS LÄN</t>
        </is>
      </c>
      <c r="E101" t="inlineStr">
        <is>
          <t>VÄNERSBORG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6990-2021</t>
        </is>
      </c>
      <c r="B102" s="1" t="n">
        <v>44237</v>
      </c>
      <c r="C102" s="1" t="n">
        <v>45724</v>
      </c>
      <c r="D102" t="inlineStr">
        <is>
          <t>VÄSTRA GÖTALANDS LÄN</t>
        </is>
      </c>
      <c r="E102" t="inlineStr">
        <is>
          <t>VÄNERSBORG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10333-2021</t>
        </is>
      </c>
      <c r="B103" s="1" t="n">
        <v>44257</v>
      </c>
      <c r="C103" s="1" t="n">
        <v>45724</v>
      </c>
      <c r="D103" t="inlineStr">
        <is>
          <t>VÄSTRA GÖTALANDS LÄN</t>
        </is>
      </c>
      <c r="E103" t="inlineStr">
        <is>
          <t>VÄNERSBORG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14708-2021</t>
        </is>
      </c>
      <c r="B104" s="1" t="n">
        <v>44280</v>
      </c>
      <c r="C104" s="1" t="n">
        <v>45724</v>
      </c>
      <c r="D104" t="inlineStr">
        <is>
          <t>VÄSTRA GÖTALANDS LÄN</t>
        </is>
      </c>
      <c r="E104" t="inlineStr">
        <is>
          <t>VÄNERSBORG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20138-2021</t>
        </is>
      </c>
      <c r="B105" s="1" t="n">
        <v>44314</v>
      </c>
      <c r="C105" s="1" t="n">
        <v>45724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22557-2021</t>
        </is>
      </c>
      <c r="B106" s="1" t="n">
        <v>44322</v>
      </c>
      <c r="C106" s="1" t="n">
        <v>45724</v>
      </c>
      <c r="D106" t="inlineStr">
        <is>
          <t>VÄSTRA GÖTALANDS LÄN</t>
        </is>
      </c>
      <c r="E106" t="inlineStr">
        <is>
          <t>VÄNERSBORG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23441-2021</t>
        </is>
      </c>
      <c r="B107" s="1" t="n">
        <v>44333</v>
      </c>
      <c r="C107" s="1" t="n">
        <v>45724</v>
      </c>
      <c r="D107" t="inlineStr">
        <is>
          <t>VÄSTRA GÖTALANDS LÄN</t>
        </is>
      </c>
      <c r="E107" t="inlineStr">
        <is>
          <t>VÄNERSBORG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26740-2021</t>
        </is>
      </c>
      <c r="B108" s="1" t="n">
        <v>44349</v>
      </c>
      <c r="C108" s="1" t="n">
        <v>45724</v>
      </c>
      <c r="D108" t="inlineStr">
        <is>
          <t>VÄSTRA GÖTALANDS LÄN</t>
        </is>
      </c>
      <c r="E108" t="inlineStr">
        <is>
          <t>VÄNERSBORG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28550-2021</t>
        </is>
      </c>
      <c r="B109" s="1" t="n">
        <v>44356</v>
      </c>
      <c r="C109" s="1" t="n">
        <v>45724</v>
      </c>
      <c r="D109" t="inlineStr">
        <is>
          <t>VÄSTRA GÖTALANDS LÄN</t>
        </is>
      </c>
      <c r="E109" t="inlineStr">
        <is>
          <t>VÄNERSBORG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29371-2021</t>
        </is>
      </c>
      <c r="B110" s="1" t="n">
        <v>44361</v>
      </c>
      <c r="C110" s="1" t="n">
        <v>45724</v>
      </c>
      <c r="D110" t="inlineStr">
        <is>
          <t>VÄSTRA GÖTALANDS LÄN</t>
        </is>
      </c>
      <c r="E110" t="inlineStr">
        <is>
          <t>VÄNERSBORG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29383-2021</t>
        </is>
      </c>
      <c r="B111" s="1" t="n">
        <v>44361</v>
      </c>
      <c r="C111" s="1" t="n">
        <v>45724</v>
      </c>
      <c r="D111" t="inlineStr">
        <is>
          <t>VÄSTRA GÖTALANDS LÄN</t>
        </is>
      </c>
      <c r="E111" t="inlineStr">
        <is>
          <t>VÄNERSBORG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29755-2021</t>
        </is>
      </c>
      <c r="B112" s="1" t="n">
        <v>44362</v>
      </c>
      <c r="C112" s="1" t="n">
        <v>45724</v>
      </c>
      <c r="D112" t="inlineStr">
        <is>
          <t>VÄSTRA GÖTALANDS LÄN</t>
        </is>
      </c>
      <c r="E112" t="inlineStr">
        <is>
          <t>VÄNERSBORG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30185-2021</t>
        </is>
      </c>
      <c r="B113" s="1" t="n">
        <v>44363</v>
      </c>
      <c r="C113" s="1" t="n">
        <v>45724</v>
      </c>
      <c r="D113" t="inlineStr">
        <is>
          <t>VÄSTRA GÖTALANDS LÄN</t>
        </is>
      </c>
      <c r="E113" t="inlineStr">
        <is>
          <t>VÄNERSBORG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30201-2021</t>
        </is>
      </c>
      <c r="B114" s="1" t="n">
        <v>44363</v>
      </c>
      <c r="C114" s="1" t="n">
        <v>45724</v>
      </c>
      <c r="D114" t="inlineStr">
        <is>
          <t>VÄSTRA GÖTALANDS LÄN</t>
        </is>
      </c>
      <c r="E114" t="inlineStr">
        <is>
          <t>VÄNERSBORG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30878-2021</t>
        </is>
      </c>
      <c r="B115" s="1" t="n">
        <v>44365</v>
      </c>
      <c r="C115" s="1" t="n">
        <v>45724</v>
      </c>
      <c r="D115" t="inlineStr">
        <is>
          <t>VÄSTRA GÖTALANDS LÄN</t>
        </is>
      </c>
      <c r="E115" t="inlineStr">
        <is>
          <t>VÄNERSBORG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34380-2021</t>
        </is>
      </c>
      <c r="B116" s="1" t="n">
        <v>44379</v>
      </c>
      <c r="C116" s="1" t="n">
        <v>45724</v>
      </c>
      <c r="D116" t="inlineStr">
        <is>
          <t>VÄSTRA GÖTALANDS LÄN</t>
        </is>
      </c>
      <c r="E116" t="inlineStr">
        <is>
          <t>VÄNERSBORG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34595-2021</t>
        </is>
      </c>
      <c r="B117" s="1" t="n">
        <v>44382</v>
      </c>
      <c r="C117" s="1" t="n">
        <v>45724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34593-2021</t>
        </is>
      </c>
      <c r="B118" s="1" t="n">
        <v>44382</v>
      </c>
      <c r="C118" s="1" t="n">
        <v>45724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34598-2021</t>
        </is>
      </c>
      <c r="B119" s="1" t="n">
        <v>44382</v>
      </c>
      <c r="C119" s="1" t="n">
        <v>45724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34611-2021</t>
        </is>
      </c>
      <c r="B120" s="1" t="n">
        <v>44382</v>
      </c>
      <c r="C120" s="1" t="n">
        <v>45724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34592-2021</t>
        </is>
      </c>
      <c r="B121" s="1" t="n">
        <v>44382</v>
      </c>
      <c r="C121" s="1" t="n">
        <v>45724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34613-2021</t>
        </is>
      </c>
      <c r="B122" s="1" t="n">
        <v>44382</v>
      </c>
      <c r="C122" s="1" t="n">
        <v>45724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40226-2021</t>
        </is>
      </c>
      <c r="B123" s="1" t="n">
        <v>44419</v>
      </c>
      <c r="C123" s="1" t="n">
        <v>45724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40223-2021</t>
        </is>
      </c>
      <c r="B124" s="1" t="n">
        <v>44419</v>
      </c>
      <c r="C124" s="1" t="n">
        <v>45724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40224-2021</t>
        </is>
      </c>
      <c r="B125" s="1" t="n">
        <v>44419</v>
      </c>
      <c r="C125" s="1" t="n">
        <v>45724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43621-2021</t>
        </is>
      </c>
      <c r="B126" s="1" t="n">
        <v>44433</v>
      </c>
      <c r="C126" s="1" t="n">
        <v>45724</v>
      </c>
      <c r="D126" t="inlineStr">
        <is>
          <t>VÄSTRA GÖTALANDS LÄN</t>
        </is>
      </c>
      <c r="E126" t="inlineStr">
        <is>
          <t>VÄNERSBORG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44736-2021</t>
        </is>
      </c>
      <c r="B127" s="1" t="n">
        <v>44438</v>
      </c>
      <c r="C127" s="1" t="n">
        <v>45724</v>
      </c>
      <c r="D127" t="inlineStr">
        <is>
          <t>VÄSTRA GÖTALANDS LÄN</t>
        </is>
      </c>
      <c r="E127" t="inlineStr">
        <is>
          <t>VÄNERSBORG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45724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45724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45724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45724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45724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45724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45724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45724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45724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45724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45724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45724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45724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45724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45724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45724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45724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45724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45724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45724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45724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45724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45724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45724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45724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45724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45724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45724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45724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45724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45724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45724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45724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45724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45724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45724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45724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45724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45724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45724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45724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45724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45724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45724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45724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45724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45724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45724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45724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45724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45724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45724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45724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45724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45724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45724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45724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45724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45724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45724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45724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45724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45724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45724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45724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45724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45724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45724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45724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45724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45724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45724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45724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45724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45724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45724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45724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45724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45724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45724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45724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45724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45724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45724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45724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45724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45724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45724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45724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45724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45724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45724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45724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45724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45724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45724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45724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45724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45724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45724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45724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45724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45724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45724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45724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45724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45724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45724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45724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45724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45724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45724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45724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45724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45724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45724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45724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45724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45724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45724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45724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45724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45724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45724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45724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45724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45724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45724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45724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45724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45724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45724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45724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45724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45724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45724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45724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45724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45724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45724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45724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45724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45724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45724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45724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45724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45724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45724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45724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45724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45724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45724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45724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45724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45724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45724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45724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45724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45724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45724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45724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45724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45724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45724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45724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45724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45724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45724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45724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45724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45724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45724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45724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45724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45724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45724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45724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45724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45724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45724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45724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45724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45724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45724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45724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45724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45724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45724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45724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45724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45724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45724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45724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45724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45724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45724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45724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45724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45724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45724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45724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45724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45724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45724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45724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45724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45724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45724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45724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45724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45724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45724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45724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45724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45724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45724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45724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45724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45724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45724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45724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45724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45724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45724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45724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45724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45724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45724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45724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45724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45724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45724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45724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45724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45724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45724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45724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45724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45724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45724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45724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45724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45724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45724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45724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45724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45724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45724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45724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45724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45724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45724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45724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45724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45724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45724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45724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45724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45724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45724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45724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45724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45724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45724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45724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45724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45724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45724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45724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45724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45724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45724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45724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45724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45724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45724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45724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45724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45724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45724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45724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45724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45724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45724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45724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45724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45724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45724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45724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45724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45724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45724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45724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45724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45724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45724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45724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45724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45724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45724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45724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45724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45724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45724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45724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45724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45724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45724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45724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45724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4041-2025</t>
        </is>
      </c>
      <c r="B438" s="1" t="n">
        <v>45684</v>
      </c>
      <c r="C438" s="1" t="n">
        <v>45724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5109-2025</t>
        </is>
      </c>
      <c r="B439" s="1" t="n">
        <v>45691</v>
      </c>
      <c r="C439" s="1" t="n">
        <v>45724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5009-2025</t>
        </is>
      </c>
      <c r="B440" s="1" t="n">
        <v>45691</v>
      </c>
      <c r="C440" s="1" t="n">
        <v>45724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7279-2025</t>
        </is>
      </c>
      <c r="B441" s="1" t="n">
        <v>45702</v>
      </c>
      <c r="C441" s="1" t="n">
        <v>45724</v>
      </c>
      <c r="D441" t="inlineStr">
        <is>
          <t>VÄSTRA GÖTALANDS LÄN</t>
        </is>
      </c>
      <c r="E441" t="inlineStr">
        <is>
          <t>VÄNERSBORG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7243-2025</t>
        </is>
      </c>
      <c r="B442" s="1" t="n">
        <v>45702</v>
      </c>
      <c r="C442" s="1" t="n">
        <v>45724</v>
      </c>
      <c r="D442" t="inlineStr">
        <is>
          <t>VÄSTRA GÖTALANDS LÄN</t>
        </is>
      </c>
      <c r="E442" t="inlineStr">
        <is>
          <t>VÄNERSBORG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8830-2025</t>
        </is>
      </c>
      <c r="B443" s="1" t="n">
        <v>45712</v>
      </c>
      <c r="C443" s="1" t="n">
        <v>45724</v>
      </c>
      <c r="D443" t="inlineStr">
        <is>
          <t>VÄSTRA GÖTALANDS LÄN</t>
        </is>
      </c>
      <c r="E443" t="inlineStr">
        <is>
          <t>VÄNERSBORG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8949-2025</t>
        </is>
      </c>
      <c r="B444" s="1" t="n">
        <v>45713</v>
      </c>
      <c r="C444" s="1" t="n">
        <v>45724</v>
      </c>
      <c r="D444" t="inlineStr">
        <is>
          <t>VÄSTRA GÖTALANDS LÄN</t>
        </is>
      </c>
      <c r="E444" t="inlineStr">
        <is>
          <t>VÄNERSBORG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9105-2025</t>
        </is>
      </c>
      <c r="B445" s="1" t="n">
        <v>45713</v>
      </c>
      <c r="C445" s="1" t="n">
        <v>45724</v>
      </c>
      <c r="D445" t="inlineStr">
        <is>
          <t>VÄSTRA GÖTALANDS LÄN</t>
        </is>
      </c>
      <c r="E445" t="inlineStr">
        <is>
          <t>VÄNERSBORG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9107-2025</t>
        </is>
      </c>
      <c r="B446" s="1" t="n">
        <v>45713</v>
      </c>
      <c r="C446" s="1" t="n">
        <v>45724</v>
      </c>
      <c r="D446" t="inlineStr">
        <is>
          <t>VÄSTRA GÖTALANDS LÄN</t>
        </is>
      </c>
      <c r="E446" t="inlineStr">
        <is>
          <t>VÄNERSBORG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10515-2025</t>
        </is>
      </c>
      <c r="B447" s="1" t="n">
        <v>45721</v>
      </c>
      <c r="C447" s="1" t="n">
        <v>45724</v>
      </c>
      <c r="D447" t="inlineStr">
        <is>
          <t>VÄSTRA GÖTALANDS LÄN</t>
        </is>
      </c>
      <c r="E447" t="inlineStr">
        <is>
          <t>VÄNERSBORG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10509-2025</t>
        </is>
      </c>
      <c r="B448" s="1" t="n">
        <v>45721</v>
      </c>
      <c r="C448" s="1" t="n">
        <v>45724</v>
      </c>
      <c r="D448" t="inlineStr">
        <is>
          <t>VÄSTRA GÖTALANDS LÄN</t>
        </is>
      </c>
      <c r="E448" t="inlineStr">
        <is>
          <t>VÄNERSBORG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10525-2025</t>
        </is>
      </c>
      <c r="B449" s="1" t="n">
        <v>45721</v>
      </c>
      <c r="C449" s="1" t="n">
        <v>45724</v>
      </c>
      <c r="D449" t="inlineStr">
        <is>
          <t>VÄSTRA GÖTALANDS LÄN</t>
        </is>
      </c>
      <c r="E449" t="inlineStr">
        <is>
          <t>VÄNERSBORG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>
      <c r="A450" t="inlineStr">
        <is>
          <t>A 10765-2025</t>
        </is>
      </c>
      <c r="B450" s="1" t="n">
        <v>45722</v>
      </c>
      <c r="C450" s="1" t="n">
        <v>45724</v>
      </c>
      <c r="D450" t="inlineStr">
        <is>
          <t>VÄSTRA GÖTALANDS LÄN</t>
        </is>
      </c>
      <c r="E450" t="inlineStr">
        <is>
          <t>VÄNERSBORG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2025-03-08T18:10:24Z</dcterms:created>
  <dcterms:modified xmlns:dcterms="http://purl.org/dc/terms/" xmlns:xsi="http://www.w3.org/2001/XMLSchema-instance" xsi:type="dcterms:W3CDTF">2025-03-08T18:10:25Z</dcterms:modified>
</cp:coreProperties>
</file>