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46197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46197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s="1" t="n">
        <v>45838</v>
      </c>
      <c r="C6" s="1" t="n">
        <v>46197</v>
      </c>
      <c r="D6" t="inlineStr">
        <is>
          <t>VÄSTRA GÖTALANDS LÄN</t>
        </is>
      </c>
      <c r="E6" t="inlineStr">
        <is>
          <t>VÄNERSBORG</t>
        </is>
      </c>
      <c r="G6" t="n">
        <v>0.4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HYPERLINK("https://klasma.github.io/Logging_1487/artfynd/A 32666-2025 artfynd.xlsx", "A 32666-2025")</f>
        <v/>
      </c>
      <c r="T6">
        <f>HYPERLINK("https://klasma.github.io/Logging_1487/kartor/A 32666-2025 karta.png", "A 32666-2025")</f>
        <v/>
      </c>
      <c r="V6">
        <f>HYPERLINK("https://klasma.github.io/Logging_1487/klagomål/A 32666-2025 FSC-klagomål.docx", "A 32666-2025")</f>
        <v/>
      </c>
      <c r="W6">
        <f>HYPERLINK("https://klasma.github.io/Logging_1487/klagomålsmail/A 32666-2025 FSC-klagomål mail.docx", "A 32666-2025")</f>
        <v/>
      </c>
      <c r="X6">
        <f>HYPERLINK("https://klasma.github.io/Logging_1487/tillsyn/A 32666-2025 tillsynsbegäran.docx", "A 32666-2025")</f>
        <v/>
      </c>
      <c r="Y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s="1" t="n">
        <v>45040</v>
      </c>
      <c r="C7" s="1" t="n">
        <v>46197</v>
      </c>
      <c r="D7" t="inlineStr">
        <is>
          <t>VÄSTRA GÖTALANDS LÄN</t>
        </is>
      </c>
      <c r="E7" t="inlineStr">
        <is>
          <t>VÄNERSBORG</t>
        </is>
      </c>
      <c r="G7" t="n">
        <v>0.6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Blåsippa</t>
        </is>
      </c>
      <c r="S7">
        <f>HYPERLINK("https://klasma.github.io/Logging_1487/artfynd/A 17932-2023 artfynd.xlsx", "A 17932-2023")</f>
        <v/>
      </c>
      <c r="T7">
        <f>HYPERLINK("https://klasma.github.io/Logging_1487/kartor/A 17932-2023 karta.png", "A 17932-2023")</f>
        <v/>
      </c>
      <c r="V7">
        <f>HYPERLINK("https://klasma.github.io/Logging_1487/klagomål/A 17932-2023 FSC-klagomål.docx", "A 17932-2023")</f>
        <v/>
      </c>
      <c r="W7">
        <f>HYPERLINK("https://klasma.github.io/Logging_1487/klagomålsmail/A 17932-2023 FSC-klagomål mail.docx", "A 17932-2023")</f>
        <v/>
      </c>
      <c r="X7">
        <f>HYPERLINK("https://klasma.github.io/Logging_1487/tillsyn/A 17932-2023 tillsynsbegäran.docx", "A 17932-2023")</f>
        <v/>
      </c>
      <c r="Y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s="1" t="n">
        <v>45742</v>
      </c>
      <c r="C8" s="1" t="n">
        <v>46197</v>
      </c>
      <c r="D8" t="inlineStr">
        <is>
          <t>VÄSTRA GÖTALANDS LÄN</t>
        </is>
      </c>
      <c r="E8" t="inlineStr">
        <is>
          <t>VÄNERSBORG</t>
        </is>
      </c>
      <c r="G8" t="n">
        <v>0.9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Slåtterfibbla
Svinrot</t>
        </is>
      </c>
      <c r="S8">
        <f>HYPERLINK("https://klasma.github.io/Logging_1487/artfynd/A 14752-2025 artfynd.xlsx", "A 14752-2025")</f>
        <v/>
      </c>
      <c r="T8">
        <f>HYPERLINK("https://klasma.github.io/Logging_1487/kartor/A 14752-2025 karta.png", "A 14752-2025")</f>
        <v/>
      </c>
      <c r="V8">
        <f>HYPERLINK("https://klasma.github.io/Logging_1487/klagomål/A 14752-2025 FSC-klagomål.docx", "A 14752-2025")</f>
        <v/>
      </c>
      <c r="W8">
        <f>HYPERLINK("https://klasma.github.io/Logging_1487/klagomålsmail/A 14752-2025 FSC-klagomål mail.docx", "A 14752-2025")</f>
        <v/>
      </c>
      <c r="X8">
        <f>HYPERLINK("https://klasma.github.io/Logging_1487/tillsyn/A 14752-2025 tillsynsbegäran.docx", "A 14752-2025")</f>
        <v/>
      </c>
      <c r="Y8">
        <f>HYPERLINK("https://klasma.github.io/Logging_1487/tillsynsmail/A 14752-2025 tillsynsbegäran mail.docx", "A 14752-2025")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46197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46197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34381-2022</t>
        </is>
      </c>
      <c r="B14" s="1" t="n">
        <v>44792</v>
      </c>
      <c r="C14" s="1" t="n">
        <v>46197</v>
      </c>
      <c r="D14" t="inlineStr">
        <is>
          <t>VÄSTRA GÖTALANDS LÄN</t>
        </is>
      </c>
      <c r="E14" t="inlineStr">
        <is>
          <t>VÄNERSBORG</t>
        </is>
      </c>
      <c r="G14" t="n">
        <v>6.6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HYPERLINK("https://klasma.github.io/Logging_1487/artfynd/A 34381-2022 artfynd.xlsx", "A 34381-2022")</f>
        <v/>
      </c>
      <c r="T14">
        <f>HYPERLINK("https://klasma.github.io/Logging_1487/kartor/A 34381-2022 karta.png", "A 34381-2022")</f>
        <v/>
      </c>
      <c r="V14">
        <f>HYPERLINK("https://klasma.github.io/Logging_1487/klagomål/A 34381-2022 FSC-klagomål.docx", "A 34381-2022")</f>
        <v/>
      </c>
      <c r="W14">
        <f>HYPERLINK("https://klasma.github.io/Logging_1487/klagomålsmail/A 34381-2022 FSC-klagomål mail.docx", "A 34381-2022")</f>
        <v/>
      </c>
      <c r="X14">
        <f>HYPERLINK("https://klasma.github.io/Logging_1487/tillsyn/A 34381-2022 tillsynsbegäran.docx", "A 34381-2022")</f>
        <v/>
      </c>
      <c r="Y14">
        <f>HYPERLINK("https://klasma.github.io/Logging_1487/tillsynsmail/A 34381-2022 tillsynsbegäran mail.docx", "A 34381-2022")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46197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25575-2025</t>
        </is>
      </c>
      <c r="B16" s="1" t="n">
        <v>45803</v>
      </c>
      <c r="C16" s="1" t="n">
        <v>46197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25575-2025 artfynd.xlsx", "A 25575-2025")</f>
        <v/>
      </c>
      <c r="T16">
        <f>HYPERLINK("https://klasma.github.io/Logging_1487/kartor/A 25575-2025 karta.png", "A 25575-2025")</f>
        <v/>
      </c>
      <c r="V16">
        <f>HYPERLINK("https://klasma.github.io/Logging_1487/klagomål/A 25575-2025 FSC-klagomål.docx", "A 25575-2025")</f>
        <v/>
      </c>
      <c r="W16">
        <f>HYPERLINK("https://klasma.github.io/Logging_1487/klagomålsmail/A 25575-2025 FSC-klagomål mail.docx", "A 25575-2025")</f>
        <v/>
      </c>
      <c r="X16">
        <f>HYPERLINK("https://klasma.github.io/Logging_1487/tillsyn/A 25575-2025 tillsynsbegäran.docx", "A 25575-2025")</f>
        <v/>
      </c>
      <c r="Y16">
        <f>HYPERLINK("https://klasma.github.io/Logging_1487/tillsynsmail/A 25575-2025 tillsynsbegäran mail.docx", "A 25575-2025")</f>
        <v/>
      </c>
    </row>
    <row r="17" ht="15" customHeight="1">
      <c r="A17" t="inlineStr">
        <is>
          <t>A 10515-2025</t>
        </is>
      </c>
      <c r="B17" s="1" t="n">
        <v>45721</v>
      </c>
      <c r="C17" s="1" t="n">
        <v>46197</v>
      </c>
      <c r="D17" t="inlineStr">
        <is>
          <t>VÄSTRA GÖTALANDS LÄN</t>
        </is>
      </c>
      <c r="E17" t="inlineStr">
        <is>
          <t>VÄNERSBORG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HYPERLINK("https://klasma.github.io/Logging_1487/artfynd/A 10515-2025 artfynd.xlsx", "A 10515-2025")</f>
        <v/>
      </c>
      <c r="T17">
        <f>HYPERLINK("https://klasma.github.io/Logging_1487/kartor/A 10515-2025 karta.png", "A 10515-2025")</f>
        <v/>
      </c>
      <c r="V17">
        <f>HYPERLINK("https://klasma.github.io/Logging_1487/klagomål/A 10515-2025 FSC-klagomål.docx", "A 10515-2025")</f>
        <v/>
      </c>
      <c r="W17">
        <f>HYPERLINK("https://klasma.github.io/Logging_1487/klagomålsmail/A 10515-2025 FSC-klagomål mail.docx", "A 10515-2025")</f>
        <v/>
      </c>
      <c r="X17">
        <f>HYPERLINK("https://klasma.github.io/Logging_1487/tillsyn/A 10515-2025 tillsynsbegäran.docx", "A 10515-2025")</f>
        <v/>
      </c>
      <c r="Y17">
        <f>HYPERLINK("https://klasma.github.io/Logging_1487/tillsynsmail/A 10515-2025 tillsynsbegäran mail.docx", "A 10515-2025")</f>
        <v/>
      </c>
    </row>
    <row r="18" ht="15" customHeight="1">
      <c r="A18" t="inlineStr">
        <is>
          <t>A 48163-2024</t>
        </is>
      </c>
      <c r="B18" s="1" t="n">
        <v>45589</v>
      </c>
      <c r="C18" s="1" t="n">
        <v>46197</v>
      </c>
      <c r="D18" t="inlineStr">
        <is>
          <t>VÄSTRA GÖTALANDS LÄN</t>
        </is>
      </c>
      <c r="E18" t="inlineStr">
        <is>
          <t>VÄNERSBORG</t>
        </is>
      </c>
      <c r="G18" t="n">
        <v>14.4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HYPERLINK("https://klasma.github.io/Logging_1487/artfynd/A 48163-2024 artfynd.xlsx", "A 48163-2024")</f>
        <v/>
      </c>
      <c r="T18">
        <f>HYPERLINK("https://klasma.github.io/Logging_1487/kartor/A 48163-2024 karta.png", "A 48163-2024")</f>
        <v/>
      </c>
      <c r="V18">
        <f>HYPERLINK("https://klasma.github.io/Logging_1487/klagomål/A 48163-2024 FSC-klagomål.docx", "A 48163-2024")</f>
        <v/>
      </c>
      <c r="W18">
        <f>HYPERLINK("https://klasma.github.io/Logging_1487/klagomålsmail/A 48163-2024 FSC-klagomål mail.docx", "A 48163-2024")</f>
        <v/>
      </c>
      <c r="X18">
        <f>HYPERLINK("https://klasma.github.io/Logging_1487/tillsyn/A 48163-2024 tillsynsbegäran.docx", "A 48163-2024")</f>
        <v/>
      </c>
      <c r="Y18">
        <f>HYPERLINK("https://klasma.github.io/Logging_1487/tillsynsmail/A 48163-2024 tillsynsbegäran mail.docx", "A 48163-2024")</f>
        <v/>
      </c>
      <c r="Z18">
        <f>HYPERLINK("https://klasma.github.io/Logging_1487/fåglar/A 48163-2024 prioriterade fågelarter.docx", "A 48163-2024")</f>
        <v/>
      </c>
    </row>
    <row r="19" ht="15" customHeight="1">
      <c r="A19" t="inlineStr">
        <is>
          <t>A 47783-2025</t>
        </is>
      </c>
      <c r="B19" s="1" t="n">
        <v>45931</v>
      </c>
      <c r="C19" s="1" t="n">
        <v>46197</v>
      </c>
      <c r="D19" t="inlineStr">
        <is>
          <t>VÄSTRA GÖTALANDS LÄN</t>
        </is>
      </c>
      <c r="E19" t="inlineStr">
        <is>
          <t>VÄNERSBORG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47783-2025 artfynd.xlsx", "A 47783-2025")</f>
        <v/>
      </c>
      <c r="T19">
        <f>HYPERLINK("https://klasma.github.io/Logging_1487/kartor/A 47783-2025 karta.png", "A 47783-2025")</f>
        <v/>
      </c>
      <c r="V19">
        <f>HYPERLINK("https://klasma.github.io/Logging_1487/klagomål/A 47783-2025 FSC-klagomål.docx", "A 47783-2025")</f>
        <v/>
      </c>
      <c r="W19">
        <f>HYPERLINK("https://klasma.github.io/Logging_1487/klagomålsmail/A 47783-2025 FSC-klagomål mail.docx", "A 47783-2025")</f>
        <v/>
      </c>
      <c r="X19">
        <f>HYPERLINK("https://klasma.github.io/Logging_1487/tillsyn/A 47783-2025 tillsynsbegäran.docx", "A 47783-2025")</f>
        <v/>
      </c>
      <c r="Y19">
        <f>HYPERLINK("https://klasma.github.io/Logging_1487/tillsynsmail/A 47783-2025 tillsynsbegäran mail.docx", "A 47783-2025")</f>
        <v/>
      </c>
    </row>
    <row r="20" ht="15" customHeight="1">
      <c r="A20" t="inlineStr">
        <is>
          <t>A 55331-2025</t>
        </is>
      </c>
      <c r="B20" s="1" t="n">
        <v>45971</v>
      </c>
      <c r="C20" s="1" t="n">
        <v>46197</v>
      </c>
      <c r="D20" t="inlineStr">
        <is>
          <t>VÄSTRA GÖTALANDS LÄN</t>
        </is>
      </c>
      <c r="E20" t="inlineStr">
        <is>
          <t>VÄNERSBORG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HYPERLINK("https://klasma.github.io/Logging_1487/artfynd/A 55331-2025 artfynd.xlsx", "A 55331-2025")</f>
        <v/>
      </c>
      <c r="T20">
        <f>HYPERLINK("https://klasma.github.io/Logging_1487/kartor/A 55331-2025 karta.png", "A 55331-2025")</f>
        <v/>
      </c>
      <c r="V20">
        <f>HYPERLINK("https://klasma.github.io/Logging_1487/klagomål/A 55331-2025 FSC-klagomål.docx", "A 55331-2025")</f>
        <v/>
      </c>
      <c r="W20">
        <f>HYPERLINK("https://klasma.github.io/Logging_1487/klagomålsmail/A 55331-2025 FSC-klagomål mail.docx", "A 55331-2025")</f>
        <v/>
      </c>
      <c r="X20">
        <f>HYPERLINK("https://klasma.github.io/Logging_1487/tillsyn/A 55331-2025 tillsynsbegäran.docx", "A 55331-2025")</f>
        <v/>
      </c>
      <c r="Y20">
        <f>HYPERLINK("https://klasma.github.io/Logging_1487/tillsynsmail/A 55331-2025 tillsynsbegäran mail.docx", "A 55331-2025")</f>
        <v/>
      </c>
    </row>
    <row r="21" ht="15" customHeight="1">
      <c r="A21" t="inlineStr">
        <is>
          <t>A 14918-2026</t>
        </is>
      </c>
      <c r="B21" s="1" t="n">
        <v>46104</v>
      </c>
      <c r="C21" s="1" t="n">
        <v>46197</v>
      </c>
      <c r="D21" t="inlineStr">
        <is>
          <t>VÄSTRA GÖTALANDS LÄN</t>
        </is>
      </c>
      <c r="E21" t="inlineStr">
        <is>
          <t>VÄNERSBORG</t>
        </is>
      </c>
      <c r="G21" t="n">
        <v>9.199999999999999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HYPERLINK("https://klasma.github.io/Logging_1487/artfynd/A 14918-2026 artfynd.xlsx", "A 14918-2026")</f>
        <v/>
      </c>
      <c r="T21">
        <f>HYPERLINK("https://klasma.github.io/Logging_1487/kartor/A 14918-2026 karta.png", "A 14918-2026")</f>
        <v/>
      </c>
      <c r="V21">
        <f>HYPERLINK("https://klasma.github.io/Logging_1487/klagomål/A 14918-2026 FSC-klagomål.docx", "A 14918-2026")</f>
        <v/>
      </c>
      <c r="W21">
        <f>HYPERLINK("https://klasma.github.io/Logging_1487/klagomålsmail/A 14918-2026 FSC-klagomål mail.docx", "A 14918-2026")</f>
        <v/>
      </c>
      <c r="X21">
        <f>HYPERLINK("https://klasma.github.io/Logging_1487/tillsyn/A 14918-2026 tillsynsbegäran.docx", "A 14918-2026")</f>
        <v/>
      </c>
      <c r="Y21">
        <f>HYPERLINK("https://klasma.github.io/Logging_1487/tillsynsmail/A 14918-2026 tillsynsbegäran mail.docx", "A 14918-2026")</f>
        <v/>
      </c>
    </row>
    <row r="22" ht="15" customHeight="1">
      <c r="A22" t="inlineStr">
        <is>
          <t>A 18733-2026</t>
        </is>
      </c>
      <c r="B22" s="1" t="n">
        <v>46128</v>
      </c>
      <c r="C22" s="1" t="n">
        <v>46197</v>
      </c>
      <c r="D22" t="inlineStr">
        <is>
          <t>VÄSTRA GÖTALANDS LÄN</t>
        </is>
      </c>
      <c r="E22" t="inlineStr">
        <is>
          <t>VÄNERSBORG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HYPERLINK("https://klasma.github.io/Logging_1487/artfynd/A 18733-2026 artfynd.xlsx", "A 18733-2026")</f>
        <v/>
      </c>
      <c r="T22">
        <f>HYPERLINK("https://klasma.github.io/Logging_1487/kartor/A 18733-2026 karta.png", "A 18733-2026")</f>
        <v/>
      </c>
      <c r="V22">
        <f>HYPERLINK("https://klasma.github.io/Logging_1487/klagomål/A 18733-2026 FSC-klagomål.docx", "A 18733-2026")</f>
        <v/>
      </c>
      <c r="W22">
        <f>HYPERLINK("https://klasma.github.io/Logging_1487/klagomålsmail/A 18733-2026 FSC-klagomål mail.docx", "A 18733-2026")</f>
        <v/>
      </c>
      <c r="X22">
        <f>HYPERLINK("https://klasma.github.io/Logging_1487/tillsyn/A 18733-2026 tillsynsbegäran.docx", "A 18733-2026")</f>
        <v/>
      </c>
      <c r="Y22">
        <f>HYPERLINK("https://klasma.github.io/Logging_1487/tillsynsmail/A 18733-2026 tillsynsbegäran mail.docx", "A 18733-2026")</f>
        <v/>
      </c>
    </row>
    <row r="23" ht="15" customHeight="1">
      <c r="A23" t="inlineStr">
        <is>
          <t>A 11709-2024</t>
        </is>
      </c>
      <c r="B23" s="1" t="n">
        <v>45373</v>
      </c>
      <c r="C23" s="1" t="n">
        <v>46197</v>
      </c>
      <c r="D23" t="inlineStr">
        <is>
          <t>VÄSTRA GÖTALANDS LÄN</t>
        </is>
      </c>
      <c r="E23" t="inlineStr">
        <is>
          <t>VÄNERSBORG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HYPERLINK("https://klasma.github.io/Logging_1487/artfynd/A 11709-2024 artfynd.xlsx", "A 11709-2024")</f>
        <v/>
      </c>
      <c r="T23">
        <f>HYPERLINK("https://klasma.github.io/Logging_1487/kartor/A 11709-2024 karta.png", "A 11709-2024")</f>
        <v/>
      </c>
      <c r="V23">
        <f>HYPERLINK("https://klasma.github.io/Logging_1487/klagomål/A 11709-2024 FSC-klagomål.docx", "A 11709-2024")</f>
        <v/>
      </c>
      <c r="W23">
        <f>HYPERLINK("https://klasma.github.io/Logging_1487/klagomålsmail/A 11709-2024 FSC-klagomål mail.docx", "A 11709-2024")</f>
        <v/>
      </c>
      <c r="X23">
        <f>HYPERLINK("https://klasma.github.io/Logging_1487/tillsyn/A 11709-2024 tillsynsbegäran.docx", "A 11709-2024")</f>
        <v/>
      </c>
      <c r="Y23">
        <f>HYPERLINK("https://klasma.github.io/Logging_1487/tillsynsmail/A 11709-2024 tillsynsbegäran mail.docx", "A 11709-2024")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46197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27794-2026</t>
        </is>
      </c>
      <c r="B25" s="1" t="n">
        <v>46191</v>
      </c>
      <c r="C25" s="1" t="n">
        <v>46197</v>
      </c>
      <c r="D25" t="inlineStr">
        <is>
          <t>VÄSTRA GÖTALANDS LÄN</t>
        </is>
      </c>
      <c r="E25" t="inlineStr">
        <is>
          <t>VÄNERSBORG</t>
        </is>
      </c>
      <c r="G25" t="n">
        <v>1.6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Åkerrättika</t>
        </is>
      </c>
      <c r="S25">
        <f>HYPERLINK("https://klasma.github.io/Logging_1487/artfynd/A 27794-2026 artfynd.xlsx", "A 27794-2026")</f>
        <v/>
      </c>
      <c r="T25">
        <f>HYPERLINK("https://klasma.github.io/Logging_1487/kartor/A 27794-2026 karta.png", "A 27794-2026")</f>
        <v/>
      </c>
      <c r="V25">
        <f>HYPERLINK("https://klasma.github.io/Logging_1487/klagomål/A 27794-2026 FSC-klagomål.docx", "A 27794-2026")</f>
        <v/>
      </c>
      <c r="W25">
        <f>HYPERLINK("https://klasma.github.io/Logging_1487/klagomålsmail/A 27794-2026 FSC-klagomål mail.docx", "A 27794-2026")</f>
        <v/>
      </c>
      <c r="X25">
        <f>HYPERLINK("https://klasma.github.io/Logging_1487/tillsyn/A 27794-2026 tillsynsbegäran.docx", "A 27794-2026")</f>
        <v/>
      </c>
      <c r="Y25">
        <f>HYPERLINK("https://klasma.github.io/Logging_1487/tillsynsmail/A 27794-2026 tillsynsbegäran mail.docx", "A 27794-2026")</f>
        <v/>
      </c>
    </row>
    <row r="26" ht="15" customHeight="1">
      <c r="A26" t="inlineStr">
        <is>
          <t>A 39899-2023</t>
        </is>
      </c>
      <c r="B26" s="1" t="n">
        <v>45166</v>
      </c>
      <c r="C26" s="1" t="n">
        <v>46197</v>
      </c>
      <c r="D26" t="inlineStr">
        <is>
          <t>VÄSTRA GÖTALANDS LÄN</t>
        </is>
      </c>
      <c r="E26" t="inlineStr">
        <is>
          <t>VÄNERSBORG</t>
        </is>
      </c>
      <c r="G26" t="n">
        <v>15.6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HYPERLINK("https://klasma.github.io/Logging_1487/artfynd/A 39899-2023 artfynd.xlsx", "A 39899-2023")</f>
        <v/>
      </c>
      <c r="T26">
        <f>HYPERLINK("https://klasma.github.io/Logging_1487/kartor/A 39899-2023 karta.png", "A 39899-2023")</f>
        <v/>
      </c>
      <c r="V26">
        <f>HYPERLINK("https://klasma.github.io/Logging_1487/klagomål/A 39899-2023 FSC-klagomål.docx", "A 39899-2023")</f>
        <v/>
      </c>
      <c r="W26">
        <f>HYPERLINK("https://klasma.github.io/Logging_1487/klagomålsmail/A 39899-2023 FSC-klagomål mail.docx", "A 39899-2023")</f>
        <v/>
      </c>
      <c r="X26">
        <f>HYPERLINK("https://klasma.github.io/Logging_1487/tillsyn/A 39899-2023 tillsynsbegäran.docx", "A 39899-2023")</f>
        <v/>
      </c>
      <c r="Y26">
        <f>HYPERLINK("https://klasma.github.io/Logging_1487/tillsynsmail/A 39899-2023 tillsynsbegäran mail.docx", "A 39899-2023")</f>
        <v/>
      </c>
      <c r="Z26">
        <f>HYPERLINK("https://klasma.github.io/Logging_1487/fåglar/A 39899-2023 prioriterade fågelarter.docx", "A 39899-2023")</f>
        <v/>
      </c>
    </row>
    <row r="27" ht="15" customHeight="1">
      <c r="A27" t="inlineStr">
        <is>
          <t>A 56739-2023</t>
        </is>
      </c>
      <c r="B27" s="1" t="n">
        <v>45244</v>
      </c>
      <c r="C27" s="1" t="n">
        <v>46197</v>
      </c>
      <c r="D27" t="inlineStr">
        <is>
          <t>VÄSTRA GÖTALANDS LÄN</t>
        </is>
      </c>
      <c r="E27" t="inlineStr">
        <is>
          <t>VÄNERSBORG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HYPERLINK("https://klasma.github.io/Logging_1487/artfynd/A 56739-2023 artfynd.xlsx", "A 56739-2023")</f>
        <v/>
      </c>
      <c r="T27">
        <f>HYPERLINK("https://klasma.github.io/Logging_1487/kartor/A 56739-2023 karta.png", "A 56739-2023")</f>
        <v/>
      </c>
      <c r="V27">
        <f>HYPERLINK("https://klasma.github.io/Logging_1487/klagomål/A 56739-2023 FSC-klagomål.docx", "A 56739-2023")</f>
        <v/>
      </c>
      <c r="W27">
        <f>HYPERLINK("https://klasma.github.io/Logging_1487/klagomålsmail/A 56739-2023 FSC-klagomål mail.docx", "A 56739-2023")</f>
        <v/>
      </c>
      <c r="X27">
        <f>HYPERLINK("https://klasma.github.io/Logging_1487/tillsyn/A 56739-2023 tillsynsbegäran.docx", "A 56739-2023")</f>
        <v/>
      </c>
      <c r="Y27">
        <f>HYPERLINK("https://klasma.github.io/Logging_1487/tillsynsmail/A 56739-2023 tillsynsbegäran mail.docx", "A 56739-2023")</f>
        <v/>
      </c>
    </row>
    <row r="28" ht="15" customHeight="1">
      <c r="A28" t="inlineStr">
        <is>
          <t>A 5009-2025</t>
        </is>
      </c>
      <c r="B28" s="1" t="n">
        <v>45691</v>
      </c>
      <c r="C28" s="1" t="n">
        <v>46197</v>
      </c>
      <c r="D28" t="inlineStr">
        <is>
          <t>VÄSTRA GÖTALANDS LÄN</t>
        </is>
      </c>
      <c r="E28" t="inlineStr">
        <is>
          <t>VÄNERSBORG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Ljungpipare</t>
        </is>
      </c>
      <c r="S28">
        <f>HYPERLINK("https://klasma.github.io/Logging_1487/artfynd/A 5009-2025 artfynd.xlsx", "A 5009-2025")</f>
        <v/>
      </c>
      <c r="T28">
        <f>HYPERLINK("https://klasma.github.io/Logging_1487/kartor/A 5009-2025 karta.png", "A 5009-2025")</f>
        <v/>
      </c>
      <c r="V28">
        <f>HYPERLINK("https://klasma.github.io/Logging_1487/klagomål/A 5009-2025 FSC-klagomål.docx", "A 5009-2025")</f>
        <v/>
      </c>
      <c r="W28">
        <f>HYPERLINK("https://klasma.github.io/Logging_1487/klagomålsmail/A 5009-2025 FSC-klagomål mail.docx", "A 5009-2025")</f>
        <v/>
      </c>
      <c r="X28">
        <f>HYPERLINK("https://klasma.github.io/Logging_1487/tillsyn/A 5009-2025 tillsynsbegäran.docx", "A 5009-2025")</f>
        <v/>
      </c>
      <c r="Y28">
        <f>HYPERLINK("https://klasma.github.io/Logging_1487/tillsynsmail/A 5009-2025 tillsynsbegäran mail.docx", "A 5009-2025")</f>
        <v/>
      </c>
      <c r="Z28">
        <f>HYPERLINK("https://klasma.github.io/Logging_1487/fåglar/A 5009-2025 prioriterade fågelarter.docx", "A 5009-2025")</f>
        <v/>
      </c>
    </row>
    <row r="29" ht="15" customHeight="1">
      <c r="A29" t="inlineStr">
        <is>
          <t>A 34611-2021</t>
        </is>
      </c>
      <c r="B29" s="1" t="n">
        <v>44382</v>
      </c>
      <c r="C29" s="1" t="n">
        <v>46197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53007-2021</t>
        </is>
      </c>
      <c r="B30" s="1" t="n">
        <v>44467</v>
      </c>
      <c r="C30" s="1" t="n">
        <v>46197</v>
      </c>
      <c r="D30" t="inlineStr">
        <is>
          <t>VÄSTRA GÖTALANDS LÄN</t>
        </is>
      </c>
      <c r="E30" t="inlineStr">
        <is>
          <t>VÄNERSBORG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34717-2022</t>
        </is>
      </c>
      <c r="B31" s="1" t="n">
        <v>44795</v>
      </c>
      <c r="C31" s="1" t="n">
        <v>46197</v>
      </c>
      <c r="D31" t="inlineStr">
        <is>
          <t>VÄSTRA GÖTALANDS LÄN</t>
        </is>
      </c>
      <c r="E31" t="inlineStr">
        <is>
          <t>VÄNERSBORG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29346-2022</t>
        </is>
      </c>
      <c r="B32" s="1" t="n">
        <v>44753</v>
      </c>
      <c r="C32" s="1" t="n">
        <v>46197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54899-2022</t>
        </is>
      </c>
      <c r="B33" s="1" t="n">
        <v>44886</v>
      </c>
      <c r="C33" s="1" t="n">
        <v>46197</v>
      </c>
      <c r="D33" t="inlineStr">
        <is>
          <t>VÄSTRA GÖTALANDS LÄN</t>
        </is>
      </c>
      <c r="E33" t="inlineStr">
        <is>
          <t>VÄNERSBORG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73477-2021</t>
        </is>
      </c>
      <c r="B34" s="1" t="n">
        <v>44551</v>
      </c>
      <c r="C34" s="1" t="n">
        <v>46197</v>
      </c>
      <c r="D34" t="inlineStr">
        <is>
          <t>VÄSTRA GÖTALANDS LÄN</t>
        </is>
      </c>
      <c r="E34" t="inlineStr">
        <is>
          <t>VÄNERSBORG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416-2022</t>
        </is>
      </c>
      <c r="B35" s="1" t="n">
        <v>44565</v>
      </c>
      <c r="C35" s="1" t="n">
        <v>46197</v>
      </c>
      <c r="D35" t="inlineStr">
        <is>
          <t>VÄSTRA GÖTALANDS LÄN</t>
        </is>
      </c>
      <c r="E35" t="inlineStr">
        <is>
          <t>VÄNERSBORG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54221-2022</t>
        </is>
      </c>
      <c r="B36" s="1" t="n">
        <v>44881</v>
      </c>
      <c r="C36" s="1" t="n">
        <v>46197</v>
      </c>
      <c r="D36" t="inlineStr">
        <is>
          <t>VÄSTRA GÖTALANDS LÄN</t>
        </is>
      </c>
      <c r="E36" t="inlineStr">
        <is>
          <t>VÄNERSBORG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46722-2022</t>
        </is>
      </c>
      <c r="B37" s="1" t="n">
        <v>44851</v>
      </c>
      <c r="C37" s="1" t="n">
        <v>46197</v>
      </c>
      <c r="D37" t="inlineStr">
        <is>
          <t>VÄSTRA GÖTALANDS LÄN</t>
        </is>
      </c>
      <c r="E37" t="inlineStr">
        <is>
          <t>VÄNERSBORG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58307-2021</t>
        </is>
      </c>
      <c r="B38" s="1" t="n">
        <v>44488</v>
      </c>
      <c r="C38" s="1" t="n">
        <v>46197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34383-2022</t>
        </is>
      </c>
      <c r="B39" s="1" t="n">
        <v>44792</v>
      </c>
      <c r="C39" s="1" t="n">
        <v>46197</v>
      </c>
      <c r="D39" t="inlineStr">
        <is>
          <t>VÄSTRA GÖTALANDS LÄN</t>
        </is>
      </c>
      <c r="E39" t="inlineStr">
        <is>
          <t>VÄNERSBORG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46197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46197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29368-2022</t>
        </is>
      </c>
      <c r="B42" s="1" t="n">
        <v>44753</v>
      </c>
      <c r="C42" s="1" t="n">
        <v>46197</v>
      </c>
      <c r="D42" t="inlineStr">
        <is>
          <t>VÄSTRA GÖTALANDS LÄN</t>
        </is>
      </c>
      <c r="E42" t="inlineStr">
        <is>
          <t>VÄNERSBORG</t>
        </is>
      </c>
      <c r="F42" t="inlineStr">
        <is>
          <t>Sveaskog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29352-2022</t>
        </is>
      </c>
      <c r="B43" s="1" t="n">
        <v>44753</v>
      </c>
      <c r="C43" s="1" t="n">
        <v>46197</v>
      </c>
      <c r="D43" t="inlineStr">
        <is>
          <t>VÄSTRA GÖTALANDS LÄN</t>
        </is>
      </c>
      <c r="E43" t="inlineStr">
        <is>
          <t>VÄNERSBORG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46197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</v>
      </c>
      <c r="C45" s="1" t="n">
        <v>46197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3465-2022</t>
        </is>
      </c>
      <c r="B46" s="1" t="n">
        <v>44585</v>
      </c>
      <c r="C46" s="1" t="n">
        <v>46197</v>
      </c>
      <c r="D46" t="inlineStr">
        <is>
          <t>VÄSTRA GÖTALANDS LÄN</t>
        </is>
      </c>
      <c r="E46" t="inlineStr">
        <is>
          <t>VÄNERSBORG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34380-2021</t>
        </is>
      </c>
      <c r="B47" s="1" t="n">
        <v>44379</v>
      </c>
      <c r="C47" s="1" t="n">
        <v>46197</v>
      </c>
      <c r="D47" t="inlineStr">
        <is>
          <t>VÄSTRA GÖTALANDS LÄN</t>
        </is>
      </c>
      <c r="E47" t="inlineStr">
        <is>
          <t>VÄNERSBORG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19561-2022</t>
        </is>
      </c>
      <c r="B48" s="1" t="n">
        <v>44693</v>
      </c>
      <c r="C48" s="1" t="n">
        <v>46197</v>
      </c>
      <c r="D48" t="inlineStr">
        <is>
          <t>VÄSTRA GÖTALANDS LÄN</t>
        </is>
      </c>
      <c r="E48" t="inlineStr">
        <is>
          <t>VÄNERSBORG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12828-2022</t>
        </is>
      </c>
      <c r="B49" s="1" t="n">
        <v>44642</v>
      </c>
      <c r="C49" s="1" t="n">
        <v>46197</v>
      </c>
      <c r="D49" t="inlineStr">
        <is>
          <t>VÄSTRA GÖTALANDS LÄN</t>
        </is>
      </c>
      <c r="E49" t="inlineStr">
        <is>
          <t>VÄNERSBORG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12836-2022</t>
        </is>
      </c>
      <c r="B50" s="1" t="n">
        <v>44642</v>
      </c>
      <c r="C50" s="1" t="n">
        <v>46197</v>
      </c>
      <c r="D50" t="inlineStr">
        <is>
          <t>VÄSTRA GÖTALANDS LÄN</t>
        </is>
      </c>
      <c r="E50" t="inlineStr">
        <is>
          <t>VÄNERSBORG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34593-2021</t>
        </is>
      </c>
      <c r="B51" s="1" t="n">
        <v>44382</v>
      </c>
      <c r="C51" s="1" t="n">
        <v>46197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Sveaskog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10976-2022</t>
        </is>
      </c>
      <c r="B52" s="1" t="n">
        <v>44628</v>
      </c>
      <c r="C52" s="1" t="n">
        <v>46197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29371-2022</t>
        </is>
      </c>
      <c r="B53" s="1" t="n">
        <v>44753</v>
      </c>
      <c r="C53" s="1" t="n">
        <v>46197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46197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</v>
      </c>
      <c r="C55" s="1" t="n">
        <v>46197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60987-2021</t>
        </is>
      </c>
      <c r="B56" s="1" t="n">
        <v>44497</v>
      </c>
      <c r="C56" s="1" t="n">
        <v>46197</v>
      </c>
      <c r="D56" t="inlineStr">
        <is>
          <t>VÄSTRA GÖTALANDS LÄN</t>
        </is>
      </c>
      <c r="E56" t="inlineStr">
        <is>
          <t>VÄNERSBORG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18157-2022</t>
        </is>
      </c>
      <c r="B57" s="1" t="n">
        <v>44684</v>
      </c>
      <c r="C57" s="1" t="n">
        <v>46197</v>
      </c>
      <c r="D57" t="inlineStr">
        <is>
          <t>VÄSTRA GÖTALANDS LÄN</t>
        </is>
      </c>
      <c r="E57" t="inlineStr">
        <is>
          <t>VÄNERSBORG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19559-2022</t>
        </is>
      </c>
      <c r="B58" s="1" t="n">
        <v>44693</v>
      </c>
      <c r="C58" s="1" t="n">
        <v>46197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2377-2022</t>
        </is>
      </c>
      <c r="B59" s="1" t="n">
        <v>44579</v>
      </c>
      <c r="C59" s="1" t="n">
        <v>46197</v>
      </c>
      <c r="D59" t="inlineStr">
        <is>
          <t>VÄSTRA GÖTALANDS LÄN</t>
        </is>
      </c>
      <c r="E59" t="inlineStr">
        <is>
          <t>VÄNERSBORG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13923-2022</t>
        </is>
      </c>
      <c r="B60" s="1" t="n">
        <v>44650</v>
      </c>
      <c r="C60" s="1" t="n">
        <v>46197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Naturvårdsverket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46197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29373-2022</t>
        </is>
      </c>
      <c r="B62" s="1" t="n">
        <v>44753</v>
      </c>
      <c r="C62" s="1" t="n">
        <v>46197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12.5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34595-2021</t>
        </is>
      </c>
      <c r="B63" s="1" t="n">
        <v>44382</v>
      </c>
      <c r="C63" s="1" t="n">
        <v>46197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11979-2022</t>
        </is>
      </c>
      <c r="B64" s="1" t="n">
        <v>44635</v>
      </c>
      <c r="C64" s="1" t="n">
        <v>46197</v>
      </c>
      <c r="D64" t="inlineStr">
        <is>
          <t>VÄSTRA GÖTALANDS LÄN</t>
        </is>
      </c>
      <c r="E64" t="inlineStr">
        <is>
          <t>VÄNERSBORG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</v>
      </c>
      <c r="C65" s="1" t="n">
        <v>46197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46197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17861-2024</t>
        </is>
      </c>
      <c r="B67" s="1" t="n">
        <v>45419</v>
      </c>
      <c r="C67" s="1" t="n">
        <v>46197</v>
      </c>
      <c r="D67" t="inlineStr">
        <is>
          <t>VÄSTRA GÖTALANDS LÄN</t>
        </is>
      </c>
      <c r="E67" t="inlineStr">
        <is>
          <t>VÄNERSBORG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46197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</v>
      </c>
      <c r="C69" s="1" t="n">
        <v>46197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</v>
      </c>
      <c r="C70" s="1" t="n">
        <v>46197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58292-2023</t>
        </is>
      </c>
      <c r="B71" s="1" t="n">
        <v>45250</v>
      </c>
      <c r="C71" s="1" t="n">
        <v>46197</v>
      </c>
      <c r="D71" t="inlineStr">
        <is>
          <t>VÄSTRA GÖTALANDS LÄN</t>
        </is>
      </c>
      <c r="E71" t="inlineStr">
        <is>
          <t>VÄNERSBORG</t>
        </is>
      </c>
      <c r="G71" t="n">
        <v>19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43621-2021</t>
        </is>
      </c>
      <c r="B72" s="1" t="n">
        <v>44433</v>
      </c>
      <c r="C72" s="1" t="n">
        <v>46197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2556-2024</t>
        </is>
      </c>
      <c r="B73" s="1" t="n">
        <v>45313</v>
      </c>
      <c r="C73" s="1" t="n">
        <v>46197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16551-2024</t>
        </is>
      </c>
      <c r="B74" s="1" t="n">
        <v>45408</v>
      </c>
      <c r="C74" s="1" t="n">
        <v>46197</v>
      </c>
      <c r="D74" t="inlineStr">
        <is>
          <t>VÄSTRA GÖTALANDS LÄN</t>
        </is>
      </c>
      <c r="E74" t="inlineStr">
        <is>
          <t>VÄNERSBORG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22402-2024</t>
        </is>
      </c>
      <c r="B75" s="1" t="n">
        <v>45446</v>
      </c>
      <c r="C75" s="1" t="n">
        <v>46197</v>
      </c>
      <c r="D75" t="inlineStr">
        <is>
          <t>VÄSTRA GÖTALANDS LÄN</t>
        </is>
      </c>
      <c r="E75" t="inlineStr">
        <is>
          <t>VÄNERSBORG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120-2024</t>
        </is>
      </c>
      <c r="B76" s="1" t="n">
        <v>45294</v>
      </c>
      <c r="C76" s="1" t="n">
        <v>46197</v>
      </c>
      <c r="D76" t="inlineStr">
        <is>
          <t>VÄSTRA GÖTALANDS LÄN</t>
        </is>
      </c>
      <c r="E76" t="inlineStr">
        <is>
          <t>VÄNERSBORG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18997-2024</t>
        </is>
      </c>
      <c r="B77" s="1" t="n">
        <v>45427</v>
      </c>
      <c r="C77" s="1" t="n">
        <v>46197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6167-2024</t>
        </is>
      </c>
      <c r="B78" s="1" t="n">
        <v>45337</v>
      </c>
      <c r="C78" s="1" t="n">
        <v>46197</v>
      </c>
      <c r="D78" t="inlineStr">
        <is>
          <t>VÄSTRA GÖTALANDS LÄN</t>
        </is>
      </c>
      <c r="E78" t="inlineStr">
        <is>
          <t>VÄNERSBORG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40223-2021</t>
        </is>
      </c>
      <c r="B79" s="1" t="n">
        <v>44419</v>
      </c>
      <c r="C79" s="1" t="n">
        <v>46197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40226-2021</t>
        </is>
      </c>
      <c r="B80" s="1" t="n">
        <v>44419</v>
      </c>
      <c r="C80" s="1" t="n">
        <v>46197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46514-2024</t>
        </is>
      </c>
      <c r="B81" s="1" t="n">
        <v>45582</v>
      </c>
      <c r="C81" s="1" t="n">
        <v>46197</v>
      </c>
      <c r="D81" t="inlineStr">
        <is>
          <t>VÄSTRA GÖTALANDS LÄN</t>
        </is>
      </c>
      <c r="E81" t="inlineStr">
        <is>
          <t>VÄNERSBORG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46521-2024</t>
        </is>
      </c>
      <c r="B82" s="1" t="n">
        <v>45582</v>
      </c>
      <c r="C82" s="1" t="n">
        <v>46197</v>
      </c>
      <c r="D82" t="inlineStr">
        <is>
          <t>VÄSTRA GÖTALANDS LÄN</t>
        </is>
      </c>
      <c r="E82" t="inlineStr">
        <is>
          <t>VÄNERSBORG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48034-2024</t>
        </is>
      </c>
      <c r="B83" s="1" t="n">
        <v>45589</v>
      </c>
      <c r="C83" s="1" t="n">
        <v>46197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58972-2024</t>
        </is>
      </c>
      <c r="B84" s="1" t="n">
        <v>45636</v>
      </c>
      <c r="C84" s="1" t="n">
        <v>46197</v>
      </c>
      <c r="D84" t="inlineStr">
        <is>
          <t>VÄSTRA GÖTALANDS LÄN</t>
        </is>
      </c>
      <c r="E84" t="inlineStr">
        <is>
          <t>VÄNERSBORG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61566-2024</t>
        </is>
      </c>
      <c r="B85" s="1" t="n">
        <v>45646</v>
      </c>
      <c r="C85" s="1" t="n">
        <v>46197</v>
      </c>
      <c r="D85" t="inlineStr">
        <is>
          <t>VÄSTRA GÖTALANDS LÄN</t>
        </is>
      </c>
      <c r="E85" t="inlineStr">
        <is>
          <t>VÄNERSBORG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54006-2022</t>
        </is>
      </c>
      <c r="B86" s="1" t="n">
        <v>44881</v>
      </c>
      <c r="C86" s="1" t="n">
        <v>46197</v>
      </c>
      <c r="D86" t="inlineStr">
        <is>
          <t>VÄSTRA GÖTALANDS LÄN</t>
        </is>
      </c>
      <c r="E86" t="inlineStr">
        <is>
          <t>VÄNERSBORG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51480-2024</t>
        </is>
      </c>
      <c r="B87" s="1" t="n">
        <v>45603</v>
      </c>
      <c r="C87" s="1" t="n">
        <v>46197</v>
      </c>
      <c r="D87" t="inlineStr">
        <is>
          <t>VÄSTRA GÖTALANDS LÄN</t>
        </is>
      </c>
      <c r="E87" t="inlineStr">
        <is>
          <t>VÄNERSBORG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4736-2024</t>
        </is>
      </c>
      <c r="B88" s="1" t="n">
        <v>45328</v>
      </c>
      <c r="C88" s="1" t="n">
        <v>46197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Kommuner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31051-2022</t>
        </is>
      </c>
      <c r="B89" s="1" t="n">
        <v>44769</v>
      </c>
      <c r="C89" s="1" t="n">
        <v>46197</v>
      </c>
      <c r="D89" t="inlineStr">
        <is>
          <t>VÄSTRA GÖTALANDS LÄN</t>
        </is>
      </c>
      <c r="E89" t="inlineStr">
        <is>
          <t>VÄNERSBORG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27031-2025</t>
        </is>
      </c>
      <c r="B90" s="1" t="n">
        <v>45811</v>
      </c>
      <c r="C90" s="1" t="n">
        <v>46197</v>
      </c>
      <c r="D90" t="inlineStr">
        <is>
          <t>VÄSTRA GÖTALANDS LÄN</t>
        </is>
      </c>
      <c r="E90" t="inlineStr">
        <is>
          <t>VÄNERSBORG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61731-2024</t>
        </is>
      </c>
      <c r="B91" s="1" t="n">
        <v>45649</v>
      </c>
      <c r="C91" s="1" t="n">
        <v>46197</v>
      </c>
      <c r="D91" t="inlineStr">
        <is>
          <t>VÄSTRA GÖTALANDS LÄN</t>
        </is>
      </c>
      <c r="E91" t="inlineStr">
        <is>
          <t>VÄNERSBORG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11817-2025</t>
        </is>
      </c>
      <c r="B92" s="1" t="n">
        <v>45728</v>
      </c>
      <c r="C92" s="1" t="n">
        <v>46197</v>
      </c>
      <c r="D92" t="inlineStr">
        <is>
          <t>VÄSTRA GÖTALANDS LÄN</t>
        </is>
      </c>
      <c r="E92" t="inlineStr">
        <is>
          <t>VÄNERSBORG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4195-2026</t>
        </is>
      </c>
      <c r="B93" s="1" t="n">
        <v>46044</v>
      </c>
      <c r="C93" s="1" t="n">
        <v>46197</v>
      </c>
      <c r="D93" t="inlineStr">
        <is>
          <t>VÄSTRA GÖTALANDS LÄN</t>
        </is>
      </c>
      <c r="E93" t="inlineStr">
        <is>
          <t>VÄNERSBORG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28264-2025</t>
        </is>
      </c>
      <c r="B94" s="1" t="n">
        <v>45818</v>
      </c>
      <c r="C94" s="1" t="n">
        <v>46197</v>
      </c>
      <c r="D94" t="inlineStr">
        <is>
          <t>VÄSTRA GÖTALANDS LÄN</t>
        </is>
      </c>
      <c r="E94" t="inlineStr">
        <is>
          <t>VÄNERSBORG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28265-2025</t>
        </is>
      </c>
      <c r="B95" s="1" t="n">
        <v>45818</v>
      </c>
      <c r="C95" s="1" t="n">
        <v>46197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27867-2025</t>
        </is>
      </c>
      <c r="B96" s="1" t="n">
        <v>45817</v>
      </c>
      <c r="C96" s="1" t="n">
        <v>46197</v>
      </c>
      <c r="D96" t="inlineStr">
        <is>
          <t>VÄSTRA GÖTALANDS LÄN</t>
        </is>
      </c>
      <c r="E96" t="inlineStr">
        <is>
          <t>VÄNERSBORG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40553-2025</t>
        </is>
      </c>
      <c r="B97" s="1" t="n">
        <v>45896</v>
      </c>
      <c r="C97" s="1" t="n">
        <v>46197</v>
      </c>
      <c r="D97" t="inlineStr">
        <is>
          <t>VÄSTRA GÖTALANDS LÄN</t>
        </is>
      </c>
      <c r="E97" t="inlineStr">
        <is>
          <t>VÄNERSBORG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40538-2025</t>
        </is>
      </c>
      <c r="B98" s="1" t="n">
        <v>45896</v>
      </c>
      <c r="C98" s="1" t="n">
        <v>46197</v>
      </c>
      <c r="D98" t="inlineStr">
        <is>
          <t>VÄSTRA GÖTALANDS LÄN</t>
        </is>
      </c>
      <c r="E98" t="inlineStr">
        <is>
          <t>VÄNERSBORG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40539-2025</t>
        </is>
      </c>
      <c r="B99" s="1" t="n">
        <v>45896</v>
      </c>
      <c r="C99" s="1" t="n">
        <v>46197</v>
      </c>
      <c r="D99" t="inlineStr">
        <is>
          <t>VÄSTRA GÖTALANDS LÄN</t>
        </is>
      </c>
      <c r="E99" t="inlineStr">
        <is>
          <t>VÄNERSBORG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40544-2025</t>
        </is>
      </c>
      <c r="B100" s="1" t="n">
        <v>45896</v>
      </c>
      <c r="C100" s="1" t="n">
        <v>46197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40550-2025</t>
        </is>
      </c>
      <c r="B101" s="1" t="n">
        <v>45896</v>
      </c>
      <c r="C101" s="1" t="n">
        <v>46197</v>
      </c>
      <c r="D101" t="inlineStr">
        <is>
          <t>VÄSTRA GÖTALANDS LÄN</t>
        </is>
      </c>
      <c r="E101" t="inlineStr">
        <is>
          <t>VÄNERSBORG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29840-2025</t>
        </is>
      </c>
      <c r="B102" s="1" t="n">
        <v>45826</v>
      </c>
      <c r="C102" s="1" t="n">
        <v>46197</v>
      </c>
      <c r="D102" t="inlineStr">
        <is>
          <t>VÄSTRA GÖTALANDS LÄN</t>
        </is>
      </c>
      <c r="E102" t="inlineStr">
        <is>
          <t>VÄNERSBORG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40844-2025</t>
        </is>
      </c>
      <c r="B103" s="1" t="n">
        <v>45897</v>
      </c>
      <c r="C103" s="1" t="n">
        <v>46197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14722-2023</t>
        </is>
      </c>
      <c r="B104" s="1" t="n">
        <v>45014</v>
      </c>
      <c r="C104" s="1" t="n">
        <v>46197</v>
      </c>
      <c r="D104" t="inlineStr">
        <is>
          <t>VÄSTRA GÖTALANDS LÄN</t>
        </is>
      </c>
      <c r="E104" t="inlineStr">
        <is>
          <t>VÄNERSBORG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10444-2022</t>
        </is>
      </c>
      <c r="B105" s="1" t="n">
        <v>44623</v>
      </c>
      <c r="C105" s="1" t="n">
        <v>46197</v>
      </c>
      <c r="D105" t="inlineStr">
        <is>
          <t>VÄSTRA GÖTALANDS LÄN</t>
        </is>
      </c>
      <c r="E105" t="inlineStr">
        <is>
          <t>VÄNERSBORG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43799-2024</t>
        </is>
      </c>
      <c r="B106" s="1" t="n">
        <v>45571</v>
      </c>
      <c r="C106" s="1" t="n">
        <v>46197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41795-2025</t>
        </is>
      </c>
      <c r="B107" s="1" t="n">
        <v>45902</v>
      </c>
      <c r="C107" s="1" t="n">
        <v>46197</v>
      </c>
      <c r="D107" t="inlineStr">
        <is>
          <t>VÄSTRA GÖTALANDS LÄN</t>
        </is>
      </c>
      <c r="E107" t="inlineStr">
        <is>
          <t>VÄNERSBORG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16747-2023</t>
        </is>
      </c>
      <c r="B108" s="1" t="n">
        <v>45030</v>
      </c>
      <c r="C108" s="1" t="n">
        <v>46197</v>
      </c>
      <c r="D108" t="inlineStr">
        <is>
          <t>VÄSTRA GÖTALANDS LÄN</t>
        </is>
      </c>
      <c r="E108" t="inlineStr">
        <is>
          <t>VÄNERSBORG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30621-2025</t>
        </is>
      </c>
      <c r="B109" s="1" t="n">
        <v>45831</v>
      </c>
      <c r="C109" s="1" t="n">
        <v>46197</v>
      </c>
      <c r="D109" t="inlineStr">
        <is>
          <t>VÄSTRA GÖTALANDS LÄN</t>
        </is>
      </c>
      <c r="E109" t="inlineStr">
        <is>
          <t>VÄNERSBORG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42566-2025</t>
        </is>
      </c>
      <c r="B110" s="1" t="n">
        <v>45905</v>
      </c>
      <c r="C110" s="1" t="n">
        <v>46197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42698-2024</t>
        </is>
      </c>
      <c r="B111" s="1" t="n">
        <v>45566</v>
      </c>
      <c r="C111" s="1" t="n">
        <v>46197</v>
      </c>
      <c r="D111" t="inlineStr">
        <is>
          <t>VÄSTRA GÖTALANDS LÄN</t>
        </is>
      </c>
      <c r="E111" t="inlineStr">
        <is>
          <t>VÄNERSBORG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49481-2023</t>
        </is>
      </c>
      <c r="B112" s="1" t="n">
        <v>45211</v>
      </c>
      <c r="C112" s="1" t="n">
        <v>46197</v>
      </c>
      <c r="D112" t="inlineStr">
        <is>
          <t>VÄSTRA GÖTALANDS LÄN</t>
        </is>
      </c>
      <c r="E112" t="inlineStr">
        <is>
          <t>VÄNERSBORG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44589-2025</t>
        </is>
      </c>
      <c r="B113" s="1" t="n">
        <v>45917</v>
      </c>
      <c r="C113" s="1" t="n">
        <v>46197</v>
      </c>
      <c r="D113" t="inlineStr">
        <is>
          <t>VÄSTRA GÖTALANDS LÄN</t>
        </is>
      </c>
      <c r="E113" t="inlineStr">
        <is>
          <t>VÄNERSBORG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44841-2025</t>
        </is>
      </c>
      <c r="B114" s="1" t="n">
        <v>45918</v>
      </c>
      <c r="C114" s="1" t="n">
        <v>46197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46520-2024</t>
        </is>
      </c>
      <c r="B115" s="1" t="n">
        <v>45582</v>
      </c>
      <c r="C115" s="1" t="n">
        <v>46197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44583-2025</t>
        </is>
      </c>
      <c r="B116" s="1" t="n">
        <v>45917</v>
      </c>
      <c r="C116" s="1" t="n">
        <v>46197</v>
      </c>
      <c r="D116" t="inlineStr">
        <is>
          <t>VÄSTRA GÖTALANDS LÄN</t>
        </is>
      </c>
      <c r="E116" t="inlineStr">
        <is>
          <t>VÄNERSBORG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50002-2023</t>
        </is>
      </c>
      <c r="B117" s="1" t="n">
        <v>45215</v>
      </c>
      <c r="C117" s="1" t="n">
        <v>46197</v>
      </c>
      <c r="D117" t="inlineStr">
        <is>
          <t>VÄSTRA GÖTALANDS LÄN</t>
        </is>
      </c>
      <c r="E117" t="inlineStr">
        <is>
          <t>VÄNERSBORG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44597-2025</t>
        </is>
      </c>
      <c r="B118" s="1" t="n">
        <v>45917</v>
      </c>
      <c r="C118" s="1" t="n">
        <v>46197</v>
      </c>
      <c r="D118" t="inlineStr">
        <is>
          <t>VÄSTRA GÖTALANDS LÄN</t>
        </is>
      </c>
      <c r="E118" t="inlineStr">
        <is>
          <t>VÄNERSBORG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44584-2025</t>
        </is>
      </c>
      <c r="B119" s="1" t="n">
        <v>45917</v>
      </c>
      <c r="C119" s="1" t="n">
        <v>46197</v>
      </c>
      <c r="D119" t="inlineStr">
        <is>
          <t>VÄSTRA GÖTALANDS LÄN</t>
        </is>
      </c>
      <c r="E119" t="inlineStr">
        <is>
          <t>VÄNERSBORG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7605-2022</t>
        </is>
      </c>
      <c r="B120" s="1" t="n">
        <v>44606</v>
      </c>
      <c r="C120" s="1" t="n">
        <v>46197</v>
      </c>
      <c r="D120" t="inlineStr">
        <is>
          <t>VÄSTRA GÖTALANDS LÄN</t>
        </is>
      </c>
      <c r="E120" t="inlineStr">
        <is>
          <t>VÄNERSBORG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20536-2023</t>
        </is>
      </c>
      <c r="B121" s="1" t="n">
        <v>45057</v>
      </c>
      <c r="C121" s="1" t="n">
        <v>46197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44575-2025</t>
        </is>
      </c>
      <c r="B122" s="1" t="n">
        <v>45917</v>
      </c>
      <c r="C122" s="1" t="n">
        <v>46197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15102-2024</t>
        </is>
      </c>
      <c r="B123" s="1" t="n">
        <v>45399</v>
      </c>
      <c r="C123" s="1" t="n">
        <v>46197</v>
      </c>
      <c r="D123" t="inlineStr">
        <is>
          <t>VÄSTRA GÖTALANDS LÄN</t>
        </is>
      </c>
      <c r="E123" t="inlineStr">
        <is>
          <t>VÄNERSBORG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45537-2025</t>
        </is>
      </c>
      <c r="B124" s="1" t="n">
        <v>45922</v>
      </c>
      <c r="C124" s="1" t="n">
        <v>46197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55618-2023</t>
        </is>
      </c>
      <c r="B125" s="1" t="n">
        <v>45238</v>
      </c>
      <c r="C125" s="1" t="n">
        <v>46197</v>
      </c>
      <c r="D125" t="inlineStr">
        <is>
          <t>VÄSTRA GÖTALANDS LÄN</t>
        </is>
      </c>
      <c r="E125" t="inlineStr">
        <is>
          <t>VÄNERSBORG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48161-2024</t>
        </is>
      </c>
      <c r="B126" s="1" t="n">
        <v>45589</v>
      </c>
      <c r="C126" s="1" t="n">
        <v>46197</v>
      </c>
      <c r="D126" t="inlineStr">
        <is>
          <t>VÄSTRA GÖTALANDS LÄN</t>
        </is>
      </c>
      <c r="E126" t="inlineStr">
        <is>
          <t>VÄNERSBORG</t>
        </is>
      </c>
      <c r="G126" t="n">
        <v>42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40939-2024</t>
        </is>
      </c>
      <c r="B127" s="1" t="n">
        <v>45558</v>
      </c>
      <c r="C127" s="1" t="n">
        <v>46197</v>
      </c>
      <c r="D127" t="inlineStr">
        <is>
          <t>VÄSTRA GÖTALANDS LÄN</t>
        </is>
      </c>
      <c r="E127" t="inlineStr">
        <is>
          <t>VÄNERSBORG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45950-2025</t>
        </is>
      </c>
      <c r="B128" s="1" t="n">
        <v>45924</v>
      </c>
      <c r="C128" s="1" t="n">
        <v>46197</v>
      </c>
      <c r="D128" t="inlineStr">
        <is>
          <t>VÄSTRA GÖTALANDS LÄN</t>
        </is>
      </c>
      <c r="E128" t="inlineStr">
        <is>
          <t>VÄNERSBORG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15067-2025</t>
        </is>
      </c>
      <c r="B129" s="1" t="n">
        <v>45743</v>
      </c>
      <c r="C129" s="1" t="n">
        <v>46197</v>
      </c>
      <c r="D129" t="inlineStr">
        <is>
          <t>VÄSTRA GÖTALANDS LÄN</t>
        </is>
      </c>
      <c r="E129" t="inlineStr">
        <is>
          <t>VÄNERSBORG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47342-2025</t>
        </is>
      </c>
      <c r="B130" s="1" t="n">
        <v>45930</v>
      </c>
      <c r="C130" s="1" t="n">
        <v>46197</v>
      </c>
      <c r="D130" t="inlineStr">
        <is>
          <t>VÄSTRA GÖTALANDS LÄN</t>
        </is>
      </c>
      <c r="E130" t="inlineStr">
        <is>
          <t>VÄNERSBORG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65120-2023</t>
        </is>
      </c>
      <c r="B131" s="1" t="n">
        <v>45287</v>
      </c>
      <c r="C131" s="1" t="n">
        <v>46197</v>
      </c>
      <c r="D131" t="inlineStr">
        <is>
          <t>VÄSTRA GÖTALANDS LÄN</t>
        </is>
      </c>
      <c r="E131" t="inlineStr">
        <is>
          <t>VÄNERSBORG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4910-2026</t>
        </is>
      </c>
      <c r="B132" s="1" t="n">
        <v>46045</v>
      </c>
      <c r="C132" s="1" t="n">
        <v>46197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15458-2025</t>
        </is>
      </c>
      <c r="B133" s="1" t="n">
        <v>45747</v>
      </c>
      <c r="C133" s="1" t="n">
        <v>46197</v>
      </c>
      <c r="D133" t="inlineStr">
        <is>
          <t>VÄSTRA GÖTALANDS LÄN</t>
        </is>
      </c>
      <c r="E133" t="inlineStr">
        <is>
          <t>VÄNERSBORG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3880-2022</t>
        </is>
      </c>
      <c r="B134" s="1" t="n">
        <v>44587</v>
      </c>
      <c r="C134" s="1" t="n">
        <v>46197</v>
      </c>
      <c r="D134" t="inlineStr">
        <is>
          <t>VÄSTRA GÖTALANDS LÄN</t>
        </is>
      </c>
      <c r="E134" t="inlineStr">
        <is>
          <t>VÄNERSBORG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27232-2024</t>
        </is>
      </c>
      <c r="B135" s="1" t="n">
        <v>45471</v>
      </c>
      <c r="C135" s="1" t="n">
        <v>46197</v>
      </c>
      <c r="D135" t="inlineStr">
        <is>
          <t>VÄSTRA GÖTALANDS LÄN</t>
        </is>
      </c>
      <c r="E135" t="inlineStr">
        <is>
          <t>VÄNERSBORG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3884-2022</t>
        </is>
      </c>
      <c r="B136" s="1" t="n">
        <v>44587</v>
      </c>
      <c r="C136" s="1" t="n">
        <v>46197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1930-2026</t>
        </is>
      </c>
      <c r="B137" s="1" t="n">
        <v>46035</v>
      </c>
      <c r="C137" s="1" t="n">
        <v>46197</v>
      </c>
      <c r="D137" t="inlineStr">
        <is>
          <t>VÄSTRA GÖTALANDS LÄN</t>
        </is>
      </c>
      <c r="E137" t="inlineStr">
        <is>
          <t>VÄNERSBORG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1925-2026</t>
        </is>
      </c>
      <c r="B138" s="1" t="n">
        <v>46035</v>
      </c>
      <c r="C138" s="1" t="n">
        <v>46197</v>
      </c>
      <c r="D138" t="inlineStr">
        <is>
          <t>VÄSTRA GÖTALANDS LÄN</t>
        </is>
      </c>
      <c r="E138" t="inlineStr">
        <is>
          <t>VÄNERSBORG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1933-2026</t>
        </is>
      </c>
      <c r="B139" s="1" t="n">
        <v>46035</v>
      </c>
      <c r="C139" s="1" t="n">
        <v>46197</v>
      </c>
      <c r="D139" t="inlineStr">
        <is>
          <t>VÄSTRA GÖTALANDS LÄN</t>
        </is>
      </c>
      <c r="E139" t="inlineStr">
        <is>
          <t>VÄNERSBORG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49201-2025</t>
        </is>
      </c>
      <c r="B140" s="1" t="n">
        <v>45938</v>
      </c>
      <c r="C140" s="1" t="n">
        <v>46197</v>
      </c>
      <c r="D140" t="inlineStr">
        <is>
          <t>VÄSTRA GÖTALANDS LÄN</t>
        </is>
      </c>
      <c r="E140" t="inlineStr">
        <is>
          <t>VÄNERSBORG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26025-2025</t>
        </is>
      </c>
      <c r="B141" s="1" t="n">
        <v>45804</v>
      </c>
      <c r="C141" s="1" t="n">
        <v>46197</v>
      </c>
      <c r="D141" t="inlineStr">
        <is>
          <t>VÄSTRA GÖTALANDS LÄN</t>
        </is>
      </c>
      <c r="E141" t="inlineStr">
        <is>
          <t>VÄNERSBORG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58704-2021</t>
        </is>
      </c>
      <c r="B142" s="1" t="n">
        <v>44489</v>
      </c>
      <c r="C142" s="1" t="n">
        <v>46197</v>
      </c>
      <c r="D142" t="inlineStr">
        <is>
          <t>VÄSTRA GÖTALANDS LÄN</t>
        </is>
      </c>
      <c r="E142" t="inlineStr">
        <is>
          <t>VÄNERSBORG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20584-2023</t>
        </is>
      </c>
      <c r="B143" s="1" t="n">
        <v>45057</v>
      </c>
      <c r="C143" s="1" t="n">
        <v>46197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59745-2024</t>
        </is>
      </c>
      <c r="B144" s="1" t="n">
        <v>45639</v>
      </c>
      <c r="C144" s="1" t="n">
        <v>46197</v>
      </c>
      <c r="D144" t="inlineStr">
        <is>
          <t>VÄSTRA GÖTALANDS LÄN</t>
        </is>
      </c>
      <c r="E144" t="inlineStr">
        <is>
          <t>VÄNERSBORG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6356-2026</t>
        </is>
      </c>
      <c r="B145" s="1" t="n">
        <v>46055</v>
      </c>
      <c r="C145" s="1" t="n">
        <v>46197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2146-2025</t>
        </is>
      </c>
      <c r="B146" s="1" t="n">
        <v>45672</v>
      </c>
      <c r="C146" s="1" t="n">
        <v>46197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50145-2025</t>
        </is>
      </c>
      <c r="B147" s="1" t="n">
        <v>45943</v>
      </c>
      <c r="C147" s="1" t="n">
        <v>46197</v>
      </c>
      <c r="D147" t="inlineStr">
        <is>
          <t>VÄSTRA GÖTALANDS LÄN</t>
        </is>
      </c>
      <c r="E147" t="inlineStr">
        <is>
          <t>VÄNERSBORG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38614-2025</t>
        </is>
      </c>
      <c r="B148" s="1" t="n">
        <v>45884</v>
      </c>
      <c r="C148" s="1" t="n">
        <v>46197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6865-2026</t>
        </is>
      </c>
      <c r="B149" s="1" t="n">
        <v>46057</v>
      </c>
      <c r="C149" s="1" t="n">
        <v>46197</v>
      </c>
      <c r="D149" t="inlineStr">
        <is>
          <t>VÄSTRA GÖTALANDS LÄN</t>
        </is>
      </c>
      <c r="E149" t="inlineStr">
        <is>
          <t>VÄNERSBORG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46523-2024</t>
        </is>
      </c>
      <c r="B150" s="1" t="n">
        <v>45582</v>
      </c>
      <c r="C150" s="1" t="n">
        <v>46197</v>
      </c>
      <c r="D150" t="inlineStr">
        <is>
          <t>VÄSTRA GÖTALANDS LÄN</t>
        </is>
      </c>
      <c r="E150" t="inlineStr">
        <is>
          <t>VÄNERSBORG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28385-2022</t>
        </is>
      </c>
      <c r="B151" s="1" t="n">
        <v>44747</v>
      </c>
      <c r="C151" s="1" t="n">
        <v>46197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53296-2025</t>
        </is>
      </c>
      <c r="B152" s="1" t="n">
        <v>45958</v>
      </c>
      <c r="C152" s="1" t="n">
        <v>46197</v>
      </c>
      <c r="D152" t="inlineStr">
        <is>
          <t>VÄSTRA GÖTALANDS LÄN</t>
        </is>
      </c>
      <c r="E152" t="inlineStr">
        <is>
          <t>VÄNERSBORG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54244-2025</t>
        </is>
      </c>
      <c r="B153" s="1" t="n">
        <v>45964</v>
      </c>
      <c r="C153" s="1" t="n">
        <v>46197</v>
      </c>
      <c r="D153" t="inlineStr">
        <is>
          <t>VÄSTRA GÖTALANDS LÄN</t>
        </is>
      </c>
      <c r="E153" t="inlineStr">
        <is>
          <t>VÄNERSBORG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9732-2023</t>
        </is>
      </c>
      <c r="B154" s="1" t="n">
        <v>44978</v>
      </c>
      <c r="C154" s="1" t="n">
        <v>46197</v>
      </c>
      <c r="D154" t="inlineStr">
        <is>
          <t>VÄSTRA GÖTALANDS LÄN</t>
        </is>
      </c>
      <c r="E154" t="inlineStr">
        <is>
          <t>VÄNERSBORG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54467-2025</t>
        </is>
      </c>
      <c r="B155" s="1" t="n">
        <v>45965</v>
      </c>
      <c r="C155" s="1" t="n">
        <v>46197</v>
      </c>
      <c r="D155" t="inlineStr">
        <is>
          <t>VÄSTRA GÖTALANDS LÄN</t>
        </is>
      </c>
      <c r="E155" t="inlineStr">
        <is>
          <t>VÄNERSBORG</t>
        </is>
      </c>
      <c r="G155" t="n">
        <v>13.4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9289-2026</t>
        </is>
      </c>
      <c r="B156" s="1" t="n">
        <v>46070</v>
      </c>
      <c r="C156" s="1" t="n">
        <v>46197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Kommuner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54863-2025</t>
        </is>
      </c>
      <c r="B157" s="1" t="n">
        <v>45966</v>
      </c>
      <c r="C157" s="1" t="n">
        <v>46197</v>
      </c>
      <c r="D157" t="inlineStr">
        <is>
          <t>VÄSTRA GÖTALANDS LÄN</t>
        </is>
      </c>
      <c r="E157" t="inlineStr">
        <is>
          <t>VÄNERSBORG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55439-2025</t>
        </is>
      </c>
      <c r="B158" s="1" t="n">
        <v>45971</v>
      </c>
      <c r="C158" s="1" t="n">
        <v>46197</v>
      </c>
      <c r="D158" t="inlineStr">
        <is>
          <t>VÄSTRA GÖTALANDS LÄN</t>
        </is>
      </c>
      <c r="E158" t="inlineStr">
        <is>
          <t>VÄNERSBORG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56261-2025</t>
        </is>
      </c>
      <c r="B159" s="1" t="n">
        <v>45974</v>
      </c>
      <c r="C159" s="1" t="n">
        <v>46197</v>
      </c>
      <c r="D159" t="inlineStr">
        <is>
          <t>VÄSTRA GÖTALANDS LÄN</t>
        </is>
      </c>
      <c r="E159" t="inlineStr">
        <is>
          <t>VÄNERSBORG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56259-2025</t>
        </is>
      </c>
      <c r="B160" s="1" t="n">
        <v>45974</v>
      </c>
      <c r="C160" s="1" t="n">
        <v>46197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56922-2025</t>
        </is>
      </c>
      <c r="B161" s="1" t="n">
        <v>45978</v>
      </c>
      <c r="C161" s="1" t="n">
        <v>46197</v>
      </c>
      <c r="D161" t="inlineStr">
        <is>
          <t>VÄSTRA GÖTALANDS LÄN</t>
        </is>
      </c>
      <c r="E161" t="inlineStr">
        <is>
          <t>VÄNERSBORG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56805-2025</t>
        </is>
      </c>
      <c r="B162" s="1" t="n">
        <v>45978</v>
      </c>
      <c r="C162" s="1" t="n">
        <v>46197</v>
      </c>
      <c r="D162" t="inlineStr">
        <is>
          <t>VÄSTRA GÖTALANDS LÄN</t>
        </is>
      </c>
      <c r="E162" t="inlineStr">
        <is>
          <t>VÄNERSBORG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56893-2025</t>
        </is>
      </c>
      <c r="B163" s="1" t="n">
        <v>45978</v>
      </c>
      <c r="C163" s="1" t="n">
        <v>46197</v>
      </c>
      <c r="D163" t="inlineStr">
        <is>
          <t>VÄSTRA GÖTALANDS LÄN</t>
        </is>
      </c>
      <c r="E163" t="inlineStr">
        <is>
          <t>VÄNERSBORG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8567-2026</t>
        </is>
      </c>
      <c r="B164" s="1" t="n">
        <v>46065</v>
      </c>
      <c r="C164" s="1" t="n">
        <v>46197</v>
      </c>
      <c r="D164" t="inlineStr">
        <is>
          <t>VÄSTRA GÖTALANDS LÄN</t>
        </is>
      </c>
      <c r="E164" t="inlineStr">
        <is>
          <t>VÄNERSBORG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60325-2025</t>
        </is>
      </c>
      <c r="B165" s="1" t="n">
        <v>45994</v>
      </c>
      <c r="C165" s="1" t="n">
        <v>46197</v>
      </c>
      <c r="D165" t="inlineStr">
        <is>
          <t>VÄSTRA GÖTALANDS LÄN</t>
        </is>
      </c>
      <c r="E165" t="inlineStr">
        <is>
          <t>VÄNERSBORG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60095-2025</t>
        </is>
      </c>
      <c r="B166" s="1" t="n">
        <v>45993</v>
      </c>
      <c r="C166" s="1" t="n">
        <v>46197</v>
      </c>
      <c r="D166" t="inlineStr">
        <is>
          <t>VÄSTRA GÖTALANDS LÄN</t>
        </is>
      </c>
      <c r="E166" t="inlineStr">
        <is>
          <t>VÄNERSBORG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60328-2025</t>
        </is>
      </c>
      <c r="B167" s="1" t="n">
        <v>45994</v>
      </c>
      <c r="C167" s="1" t="n">
        <v>46197</v>
      </c>
      <c r="D167" t="inlineStr">
        <is>
          <t>VÄSTRA GÖTALANDS LÄN</t>
        </is>
      </c>
      <c r="E167" t="inlineStr">
        <is>
          <t>VÄNERSBORG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18715-2023</t>
        </is>
      </c>
      <c r="B168" s="1" t="n">
        <v>45043</v>
      </c>
      <c r="C168" s="1" t="n">
        <v>46197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16452-2025</t>
        </is>
      </c>
      <c r="B169" s="1" t="n">
        <v>45751</v>
      </c>
      <c r="C169" s="1" t="n">
        <v>46197</v>
      </c>
      <c r="D169" t="inlineStr">
        <is>
          <t>VÄSTRA GÖTALANDS LÄN</t>
        </is>
      </c>
      <c r="E169" t="inlineStr">
        <is>
          <t>VÄNERSBORG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61120-2025</t>
        </is>
      </c>
      <c r="B170" s="1" t="n">
        <v>46000</v>
      </c>
      <c r="C170" s="1" t="n">
        <v>46197</v>
      </c>
      <c r="D170" t="inlineStr">
        <is>
          <t>VÄSTRA GÖTALANDS LÄN</t>
        </is>
      </c>
      <c r="E170" t="inlineStr">
        <is>
          <t>VÄNERSBORG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46197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57699-2023</t>
        </is>
      </c>
      <c r="B172" s="1" t="n">
        <v>45246</v>
      </c>
      <c r="C172" s="1" t="n">
        <v>46197</v>
      </c>
      <c r="D172" t="inlineStr">
        <is>
          <t>VÄSTRA GÖTALANDS LÄN</t>
        </is>
      </c>
      <c r="E172" t="inlineStr">
        <is>
          <t>VÄNERSBORG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27815-2024</t>
        </is>
      </c>
      <c r="B173" s="1" t="n">
        <v>45475</v>
      </c>
      <c r="C173" s="1" t="n">
        <v>46197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22631-2022</t>
        </is>
      </c>
      <c r="B174" s="1" t="n">
        <v>44714</v>
      </c>
      <c r="C174" s="1" t="n">
        <v>46197</v>
      </c>
      <c r="D174" t="inlineStr">
        <is>
          <t>VÄSTRA GÖTALANDS LÄN</t>
        </is>
      </c>
      <c r="E174" t="inlineStr">
        <is>
          <t>VÄNERSBORG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13491-2026</t>
        </is>
      </c>
      <c r="B175" s="1" t="n">
        <v>46094</v>
      </c>
      <c r="C175" s="1" t="n">
        <v>46197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62439-2025</t>
        </is>
      </c>
      <c r="B176" s="1" t="n">
        <v>46007</v>
      </c>
      <c r="C176" s="1" t="n">
        <v>46197</v>
      </c>
      <c r="D176" t="inlineStr">
        <is>
          <t>VÄSTRA GÖTALANDS LÄN</t>
        </is>
      </c>
      <c r="E176" t="inlineStr">
        <is>
          <t>VÄNERSBORG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14875-2026</t>
        </is>
      </c>
      <c r="B177" s="1" t="n">
        <v>46104</v>
      </c>
      <c r="C177" s="1" t="n">
        <v>46197</v>
      </c>
      <c r="D177" t="inlineStr">
        <is>
          <t>VÄSTRA GÖTALANDS LÄN</t>
        </is>
      </c>
      <c r="E177" t="inlineStr">
        <is>
          <t>VÄNERSBORG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20793-2023</t>
        </is>
      </c>
      <c r="B178" s="1" t="n">
        <v>45058</v>
      </c>
      <c r="C178" s="1" t="n">
        <v>46197</v>
      </c>
      <c r="D178" t="inlineStr">
        <is>
          <t>VÄSTRA GÖTALANDS LÄN</t>
        </is>
      </c>
      <c r="E178" t="inlineStr">
        <is>
          <t>VÄNERSBORG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14853-2026</t>
        </is>
      </c>
      <c r="B179" s="1" t="n">
        <v>46104</v>
      </c>
      <c r="C179" s="1" t="n">
        <v>46197</v>
      </c>
      <c r="D179" t="inlineStr">
        <is>
          <t>VÄSTRA GÖTALANDS LÄN</t>
        </is>
      </c>
      <c r="E179" t="inlineStr">
        <is>
          <t>VÄNERSBORG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14886-2026</t>
        </is>
      </c>
      <c r="B180" s="1" t="n">
        <v>46104</v>
      </c>
      <c r="C180" s="1" t="n">
        <v>46197</v>
      </c>
      <c r="D180" t="inlineStr">
        <is>
          <t>VÄSTRA GÖTALANDS LÄN</t>
        </is>
      </c>
      <c r="E180" t="inlineStr">
        <is>
          <t>VÄNERSBORG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14873-2026</t>
        </is>
      </c>
      <c r="B181" s="1" t="n">
        <v>46104</v>
      </c>
      <c r="C181" s="1" t="n">
        <v>46197</v>
      </c>
      <c r="D181" t="inlineStr">
        <is>
          <t>VÄSTRA GÖTALANDS LÄN</t>
        </is>
      </c>
      <c r="E181" t="inlineStr">
        <is>
          <t>VÄNERSBORG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146-2026</t>
        </is>
      </c>
      <c r="B182" s="1" t="n">
        <v>46024</v>
      </c>
      <c r="C182" s="1" t="n">
        <v>46197</v>
      </c>
      <c r="D182" t="inlineStr">
        <is>
          <t>VÄSTRA GÖTALANDS LÄN</t>
        </is>
      </c>
      <c r="E182" t="inlineStr">
        <is>
          <t>VÄNERSBORG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28263-2023</t>
        </is>
      </c>
      <c r="B183" s="1" t="n">
        <v>45099</v>
      </c>
      <c r="C183" s="1" t="n">
        <v>46197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1937-2026</t>
        </is>
      </c>
      <c r="B184" s="1" t="n">
        <v>46035</v>
      </c>
      <c r="C184" s="1" t="n">
        <v>46197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16192-2026</t>
        </is>
      </c>
      <c r="B185" s="1" t="n">
        <v>46111</v>
      </c>
      <c r="C185" s="1" t="n">
        <v>46197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Kommuner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6179-2024</t>
        </is>
      </c>
      <c r="B186" s="1" t="n">
        <v>45337</v>
      </c>
      <c r="C186" s="1" t="n">
        <v>46197</v>
      </c>
      <c r="D186" t="inlineStr">
        <is>
          <t>VÄSTRA GÖTALANDS LÄN</t>
        </is>
      </c>
      <c r="E186" t="inlineStr">
        <is>
          <t>VÄNERSBORG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61825-2021</t>
        </is>
      </c>
      <c r="B187" s="1" t="n">
        <v>44501</v>
      </c>
      <c r="C187" s="1" t="n">
        <v>46197</v>
      </c>
      <c r="D187" t="inlineStr">
        <is>
          <t>VÄSTRA GÖTALANDS LÄN</t>
        </is>
      </c>
      <c r="E187" t="inlineStr">
        <is>
          <t>VÄNERSBORG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61826-2021</t>
        </is>
      </c>
      <c r="B188" s="1" t="n">
        <v>44501</v>
      </c>
      <c r="C188" s="1" t="n">
        <v>46197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73226-2021</t>
        </is>
      </c>
      <c r="B189" s="1" t="n">
        <v>44550</v>
      </c>
      <c r="C189" s="1" t="n">
        <v>46197</v>
      </c>
      <c r="D189" t="inlineStr">
        <is>
          <t>VÄSTRA GÖTALANDS LÄN</t>
        </is>
      </c>
      <c r="E189" t="inlineStr">
        <is>
          <t>VÄNERSBORG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1749-2024</t>
        </is>
      </c>
      <c r="B190" s="1" t="n">
        <v>45307</v>
      </c>
      <c r="C190" s="1" t="n">
        <v>46197</v>
      </c>
      <c r="D190" t="inlineStr">
        <is>
          <t>VÄSTRA GÖTALANDS LÄN</t>
        </is>
      </c>
      <c r="E190" t="inlineStr">
        <is>
          <t>VÄNERSBORG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17270-2026</t>
        </is>
      </c>
      <c r="B191" s="1" t="n">
        <v>46119</v>
      </c>
      <c r="C191" s="1" t="n">
        <v>46197</v>
      </c>
      <c r="D191" t="inlineStr">
        <is>
          <t>VÄSTRA GÖTALANDS LÄN</t>
        </is>
      </c>
      <c r="E191" t="inlineStr">
        <is>
          <t>VÄNERSBORG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17323-2026</t>
        </is>
      </c>
      <c r="B192" s="1" t="n">
        <v>46119</v>
      </c>
      <c r="C192" s="1" t="n">
        <v>46197</v>
      </c>
      <c r="D192" t="inlineStr">
        <is>
          <t>VÄSTRA GÖTALANDS LÄN</t>
        </is>
      </c>
      <c r="E192" t="inlineStr">
        <is>
          <t>VÄNERSBORG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38360-2024</t>
        </is>
      </c>
      <c r="B193" s="1" t="n">
        <v>45545</v>
      </c>
      <c r="C193" s="1" t="n">
        <v>46197</v>
      </c>
      <c r="D193" t="inlineStr">
        <is>
          <t>VÄSTRA GÖTALANDS LÄN</t>
        </is>
      </c>
      <c r="E193" t="inlineStr">
        <is>
          <t>VÄNERSBORG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17319-2026</t>
        </is>
      </c>
      <c r="B194" s="1" t="n">
        <v>46119</v>
      </c>
      <c r="C194" s="1" t="n">
        <v>46197</v>
      </c>
      <c r="D194" t="inlineStr">
        <is>
          <t>VÄSTRA GÖTALANDS LÄN</t>
        </is>
      </c>
      <c r="E194" t="inlineStr">
        <is>
          <t>VÄNERSBORG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27181-2023</t>
        </is>
      </c>
      <c r="B195" s="1" t="n">
        <v>45096</v>
      </c>
      <c r="C195" s="1" t="n">
        <v>46197</v>
      </c>
      <c r="D195" t="inlineStr">
        <is>
          <t>VÄSTRA GÖTALANDS LÄN</t>
        </is>
      </c>
      <c r="E195" t="inlineStr">
        <is>
          <t>VÄNERSBORG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17334-2026</t>
        </is>
      </c>
      <c r="B196" s="1" t="n">
        <v>46119</v>
      </c>
      <c r="C196" s="1" t="n">
        <v>46197</v>
      </c>
      <c r="D196" t="inlineStr">
        <is>
          <t>VÄSTRA GÖTALANDS LÄN</t>
        </is>
      </c>
      <c r="E196" t="inlineStr">
        <is>
          <t>VÄNERSBORG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46320-2024</t>
        </is>
      </c>
      <c r="B197" s="1" t="n">
        <v>45581</v>
      </c>
      <c r="C197" s="1" t="n">
        <v>46197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23532-2026</t>
        </is>
      </c>
      <c r="B198" s="1" t="n">
        <v>46163</v>
      </c>
      <c r="C198" s="1" t="n">
        <v>46197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9169-2023</t>
        </is>
      </c>
      <c r="B199" s="1" t="n">
        <v>44980</v>
      </c>
      <c r="C199" s="1" t="n">
        <v>46197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33912-2023</t>
        </is>
      </c>
      <c r="B200" s="1" t="n">
        <v>45134</v>
      </c>
      <c r="C200" s="1" t="n">
        <v>46197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7640-2024</t>
        </is>
      </c>
      <c r="B201" s="1" t="n">
        <v>45348</v>
      </c>
      <c r="C201" s="1" t="n">
        <v>46197</v>
      </c>
      <c r="D201" t="inlineStr">
        <is>
          <t>VÄSTRA GÖTALANDS LÄN</t>
        </is>
      </c>
      <c r="E201" t="inlineStr">
        <is>
          <t>VÄNERSBORG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56734-2023</t>
        </is>
      </c>
      <c r="B202" s="1" t="n">
        <v>45244</v>
      </c>
      <c r="C202" s="1" t="n">
        <v>46197</v>
      </c>
      <c r="D202" t="inlineStr">
        <is>
          <t>VÄSTRA GÖTALANDS LÄN</t>
        </is>
      </c>
      <c r="E202" t="inlineStr">
        <is>
          <t>VÄNERSBORG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33942-2023</t>
        </is>
      </c>
      <c r="B203" s="1" t="n">
        <v>45134</v>
      </c>
      <c r="C203" s="1" t="n">
        <v>46197</v>
      </c>
      <c r="D203" t="inlineStr">
        <is>
          <t>VÄSTRA GÖTALANDS LÄN</t>
        </is>
      </c>
      <c r="E203" t="inlineStr">
        <is>
          <t>VÄNERSBORG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18496-2026</t>
        </is>
      </c>
      <c r="B204" s="1" t="n">
        <v>46126</v>
      </c>
      <c r="C204" s="1" t="n">
        <v>46197</v>
      </c>
      <c r="D204" t="inlineStr">
        <is>
          <t>VÄSTRA GÖTALANDS LÄN</t>
        </is>
      </c>
      <c r="E204" t="inlineStr">
        <is>
          <t>VÄNERSBORG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16922-2024</t>
        </is>
      </c>
      <c r="B205" s="1" t="n">
        <v>45411</v>
      </c>
      <c r="C205" s="1" t="n">
        <v>46197</v>
      </c>
      <c r="D205" t="inlineStr">
        <is>
          <t>VÄSTRA GÖTALANDS LÄN</t>
        </is>
      </c>
      <c r="E205" t="inlineStr">
        <is>
          <t>VÄNERSBORG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18830-2026</t>
        </is>
      </c>
      <c r="B206" s="1" t="n">
        <v>46128</v>
      </c>
      <c r="C206" s="1" t="n">
        <v>46197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24769-2026</t>
        </is>
      </c>
      <c r="B207" s="1" t="n">
        <v>46171</v>
      </c>
      <c r="C207" s="1" t="n">
        <v>46197</v>
      </c>
      <c r="D207" t="inlineStr">
        <is>
          <t>VÄSTRA GÖTALANDS LÄN</t>
        </is>
      </c>
      <c r="E207" t="inlineStr">
        <is>
          <t>VÄNERSBORG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6140-2024</t>
        </is>
      </c>
      <c r="B208" s="1" t="n">
        <v>45337</v>
      </c>
      <c r="C208" s="1" t="n">
        <v>46197</v>
      </c>
      <c r="D208" t="inlineStr">
        <is>
          <t>VÄSTRA GÖTALANDS LÄN</t>
        </is>
      </c>
      <c r="E208" t="inlineStr">
        <is>
          <t>VÄNERSBORG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44588-2025</t>
        </is>
      </c>
      <c r="B209" s="1" t="n">
        <v>45917</v>
      </c>
      <c r="C209" s="1" t="n">
        <v>46197</v>
      </c>
      <c r="D209" t="inlineStr">
        <is>
          <t>VÄSTRA GÖTALANDS LÄN</t>
        </is>
      </c>
      <c r="E209" t="inlineStr">
        <is>
          <t>VÄNERSBORG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64606-2023</t>
        </is>
      </c>
      <c r="B210" s="1" t="n">
        <v>45281</v>
      </c>
      <c r="C210" s="1" t="n">
        <v>46197</v>
      </c>
      <c r="D210" t="inlineStr">
        <is>
          <t>VÄSTRA GÖTALANDS LÄN</t>
        </is>
      </c>
      <c r="E210" t="inlineStr">
        <is>
          <t>VÄNERSBORG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50939-2024</t>
        </is>
      </c>
      <c r="B211" s="1" t="n">
        <v>45602</v>
      </c>
      <c r="C211" s="1" t="n">
        <v>46197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24892-2025</t>
        </is>
      </c>
      <c r="B212" s="1" t="n">
        <v>45799</v>
      </c>
      <c r="C212" s="1" t="n">
        <v>46197</v>
      </c>
      <c r="D212" t="inlineStr">
        <is>
          <t>VÄSTRA GÖTALANDS LÄN</t>
        </is>
      </c>
      <c r="E212" t="inlineStr">
        <is>
          <t>VÄNERSBORG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33915-2023</t>
        </is>
      </c>
      <c r="B213" s="1" t="n">
        <v>45134</v>
      </c>
      <c r="C213" s="1" t="n">
        <v>46197</v>
      </c>
      <c r="D213" t="inlineStr">
        <is>
          <t>VÄSTRA GÖTALANDS LÄN</t>
        </is>
      </c>
      <c r="E213" t="inlineStr">
        <is>
          <t>VÄNERSBORG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43987-2022</t>
        </is>
      </c>
      <c r="B214" s="1" t="n">
        <v>44838</v>
      </c>
      <c r="C214" s="1" t="n">
        <v>46197</v>
      </c>
      <c r="D214" t="inlineStr">
        <is>
          <t>VÄSTRA GÖTALANDS LÄN</t>
        </is>
      </c>
      <c r="E214" t="inlineStr">
        <is>
          <t>VÄNERSBORG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46197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56829-2023</t>
        </is>
      </c>
      <c r="B216" s="1" t="n">
        <v>45244</v>
      </c>
      <c r="C216" s="1" t="n">
        <v>46197</v>
      </c>
      <c r="D216" t="inlineStr">
        <is>
          <t>VÄSTRA GÖTALANDS LÄN</t>
        </is>
      </c>
      <c r="E216" t="inlineStr">
        <is>
          <t>VÄNERSBORG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43817-2023</t>
        </is>
      </c>
      <c r="B217" s="1" t="n">
        <v>45187</v>
      </c>
      <c r="C217" s="1" t="n">
        <v>46197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13698-2024</t>
        </is>
      </c>
      <c r="B218" s="1" t="n">
        <v>45390</v>
      </c>
      <c r="C218" s="1" t="n">
        <v>46197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23862-2022</t>
        </is>
      </c>
      <c r="B219" s="1" t="n">
        <v>44722</v>
      </c>
      <c r="C219" s="1" t="n">
        <v>46197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40721-2022</t>
        </is>
      </c>
      <c r="B220" s="1" t="n">
        <v>44824</v>
      </c>
      <c r="C220" s="1" t="n">
        <v>46197</v>
      </c>
      <c r="D220" t="inlineStr">
        <is>
          <t>VÄSTRA GÖTALANDS LÄN</t>
        </is>
      </c>
      <c r="E220" t="inlineStr">
        <is>
          <t>VÄNERSBORG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50884-2025</t>
        </is>
      </c>
      <c r="B221" s="1" t="n">
        <v>45946</v>
      </c>
      <c r="C221" s="1" t="n">
        <v>46197</v>
      </c>
      <c r="D221" t="inlineStr">
        <is>
          <t>VÄSTRA GÖTALANDS LÄN</t>
        </is>
      </c>
      <c r="E221" t="inlineStr">
        <is>
          <t>VÄNERSBORG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20714-2026</t>
        </is>
      </c>
      <c r="B222" s="1" t="n">
        <v>46141</v>
      </c>
      <c r="C222" s="1" t="n">
        <v>46197</v>
      </c>
      <c r="D222" t="inlineStr">
        <is>
          <t>VÄSTRA GÖTALANDS LÄN</t>
        </is>
      </c>
      <c r="E222" t="inlineStr">
        <is>
          <t>VÄNERSBORG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59692-2023</t>
        </is>
      </c>
      <c r="B223" s="1" t="n">
        <v>45256</v>
      </c>
      <c r="C223" s="1" t="n">
        <v>46197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7795-2023</t>
        </is>
      </c>
      <c r="B224" s="1" t="n">
        <v>44973</v>
      </c>
      <c r="C224" s="1" t="n">
        <v>46197</v>
      </c>
      <c r="D224" t="inlineStr">
        <is>
          <t>VÄSTRA GÖTALANDS LÄN</t>
        </is>
      </c>
      <c r="E224" t="inlineStr">
        <is>
          <t>VÄNERSBORG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20738-2026</t>
        </is>
      </c>
      <c r="B225" s="1" t="n">
        <v>46141</v>
      </c>
      <c r="C225" s="1" t="n">
        <v>46197</v>
      </c>
      <c r="D225" t="inlineStr">
        <is>
          <t>VÄSTRA GÖTALANDS LÄN</t>
        </is>
      </c>
      <c r="E225" t="inlineStr">
        <is>
          <t>VÄNERSBORG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20864-2026</t>
        </is>
      </c>
      <c r="B226" s="1" t="n">
        <v>46142</v>
      </c>
      <c r="C226" s="1" t="n">
        <v>46197</v>
      </c>
      <c r="D226" t="inlineStr">
        <is>
          <t>VÄSTRA GÖTALANDS LÄN</t>
        </is>
      </c>
      <c r="E226" t="inlineStr">
        <is>
          <t>VÄNERSBORG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47630-2022</t>
        </is>
      </c>
      <c r="B227" s="1" t="n">
        <v>44852</v>
      </c>
      <c r="C227" s="1" t="n">
        <v>46197</v>
      </c>
      <c r="D227" t="inlineStr">
        <is>
          <t>VÄSTRA GÖTALANDS LÄN</t>
        </is>
      </c>
      <c r="E227" t="inlineStr">
        <is>
          <t>VÄNERSBORG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24714-2026</t>
        </is>
      </c>
      <c r="B228" s="1" t="n">
        <v>46171</v>
      </c>
      <c r="C228" s="1" t="n">
        <v>46197</v>
      </c>
      <c r="D228" t="inlineStr">
        <is>
          <t>VÄSTRA GÖTALANDS LÄN</t>
        </is>
      </c>
      <c r="E228" t="inlineStr">
        <is>
          <t>VÄNERSBORG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7420-2024</t>
        </is>
      </c>
      <c r="B229" s="1" t="n">
        <v>45345</v>
      </c>
      <c r="C229" s="1" t="n">
        <v>46197</v>
      </c>
      <c r="D229" t="inlineStr">
        <is>
          <t>VÄSTRA GÖTALANDS LÄN</t>
        </is>
      </c>
      <c r="E229" t="inlineStr">
        <is>
          <t>VÄNERSBORG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15099-2024</t>
        </is>
      </c>
      <c r="B230" s="1" t="n">
        <v>45399</v>
      </c>
      <c r="C230" s="1" t="n">
        <v>46197</v>
      </c>
      <c r="D230" t="inlineStr">
        <is>
          <t>VÄSTRA GÖTALANDS LÄN</t>
        </is>
      </c>
      <c r="E230" t="inlineStr">
        <is>
          <t>VÄNERSBORG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15107-2024</t>
        </is>
      </c>
      <c r="B231" s="1" t="n">
        <v>45399</v>
      </c>
      <c r="C231" s="1" t="n">
        <v>46197</v>
      </c>
      <c r="D231" t="inlineStr">
        <is>
          <t>VÄSTRA GÖTALANDS LÄN</t>
        </is>
      </c>
      <c r="E231" t="inlineStr">
        <is>
          <t>VÄNERSBORG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21183-2026</t>
        </is>
      </c>
      <c r="B232" s="1" t="n">
        <v>46146</v>
      </c>
      <c r="C232" s="1" t="n">
        <v>46197</v>
      </c>
      <c r="D232" t="inlineStr">
        <is>
          <t>VÄSTRA GÖTALANDS LÄN</t>
        </is>
      </c>
      <c r="E232" t="inlineStr">
        <is>
          <t>VÄNERSBORG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21352-2026</t>
        </is>
      </c>
      <c r="B233" s="1" t="n">
        <v>46147</v>
      </c>
      <c r="C233" s="1" t="n">
        <v>46197</v>
      </c>
      <c r="D233" t="inlineStr">
        <is>
          <t>VÄSTRA GÖTALANDS LÄN</t>
        </is>
      </c>
      <c r="E233" t="inlineStr">
        <is>
          <t>VÄNERSBORG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32838-2022</t>
        </is>
      </c>
      <c r="B234" s="1" t="n">
        <v>44784</v>
      </c>
      <c r="C234" s="1" t="n">
        <v>46197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505-2023</t>
        </is>
      </c>
      <c r="B235" s="1" t="n">
        <v>44930</v>
      </c>
      <c r="C235" s="1" t="n">
        <v>46197</v>
      </c>
      <c r="D235" t="inlineStr">
        <is>
          <t>VÄSTRA GÖTALANDS LÄN</t>
        </is>
      </c>
      <c r="E235" t="inlineStr">
        <is>
          <t>VÄNERSBORG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19051-2023</t>
        </is>
      </c>
      <c r="B236" s="1" t="n">
        <v>45047</v>
      </c>
      <c r="C236" s="1" t="n">
        <v>46197</v>
      </c>
      <c r="D236" t="inlineStr">
        <is>
          <t>VÄSTRA GÖTALANDS LÄN</t>
        </is>
      </c>
      <c r="E236" t="inlineStr">
        <is>
          <t>VÄNERSBORG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6270-2023</t>
        </is>
      </c>
      <c r="B237" s="1" t="n">
        <v>44965</v>
      </c>
      <c r="C237" s="1" t="n">
        <v>46197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63509-2023</t>
        </is>
      </c>
      <c r="B238" s="1" t="n">
        <v>45274</v>
      </c>
      <c r="C238" s="1" t="n">
        <v>46197</v>
      </c>
      <c r="D238" t="inlineStr">
        <is>
          <t>VÄSTRA GÖTALANDS LÄN</t>
        </is>
      </c>
      <c r="E238" t="inlineStr">
        <is>
          <t>VÄNERSBORG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22353-2026</t>
        </is>
      </c>
      <c r="B239" s="1" t="n">
        <v>46154</v>
      </c>
      <c r="C239" s="1" t="n">
        <v>46197</v>
      </c>
      <c r="D239" t="inlineStr">
        <is>
          <t>VÄSTRA GÖTALANDS LÄN</t>
        </is>
      </c>
      <c r="E239" t="inlineStr">
        <is>
          <t>VÄNERSBORG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22350-2026</t>
        </is>
      </c>
      <c r="B240" s="1" t="n">
        <v>46154</v>
      </c>
      <c r="C240" s="1" t="n">
        <v>46197</v>
      </c>
      <c r="D240" t="inlineStr">
        <is>
          <t>VÄSTRA GÖTALANDS LÄN</t>
        </is>
      </c>
      <c r="E240" t="inlineStr">
        <is>
          <t>VÄNERSBORG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13334-2022</t>
        </is>
      </c>
      <c r="B241" s="1" t="n">
        <v>44645</v>
      </c>
      <c r="C241" s="1" t="n">
        <v>46197</v>
      </c>
      <c r="D241" t="inlineStr">
        <is>
          <t>VÄSTRA GÖTALANDS LÄN</t>
        </is>
      </c>
      <c r="E241" t="inlineStr">
        <is>
          <t>VÄNERSBORG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20280-2023</t>
        </is>
      </c>
      <c r="B242" s="1" t="n">
        <v>45056</v>
      </c>
      <c r="C242" s="1" t="n">
        <v>46197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24940-2023</t>
        </is>
      </c>
      <c r="B243" s="1" t="n">
        <v>45085</v>
      </c>
      <c r="C243" s="1" t="n">
        <v>46197</v>
      </c>
      <c r="D243" t="inlineStr">
        <is>
          <t>VÄSTRA GÖTALANDS LÄN</t>
        </is>
      </c>
      <c r="E243" t="inlineStr">
        <is>
          <t>VÄNERSBORG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33921-2023</t>
        </is>
      </c>
      <c r="B244" s="1" t="n">
        <v>45134</v>
      </c>
      <c r="C244" s="1" t="n">
        <v>46197</v>
      </c>
      <c r="D244" t="inlineStr">
        <is>
          <t>VÄSTRA GÖTALANDS LÄN</t>
        </is>
      </c>
      <c r="E244" t="inlineStr">
        <is>
          <t>VÄNERSBORG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48494-2024</t>
        </is>
      </c>
      <c r="B245" s="1" t="n">
        <v>45592</v>
      </c>
      <c r="C245" s="1" t="n">
        <v>46197</v>
      </c>
      <c r="D245" t="inlineStr">
        <is>
          <t>VÄSTRA GÖTALANDS LÄN</t>
        </is>
      </c>
      <c r="E245" t="inlineStr">
        <is>
          <t>VÄNERSBORG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12853-2023</t>
        </is>
      </c>
      <c r="B246" s="1" t="n">
        <v>45001</v>
      </c>
      <c r="C246" s="1" t="n">
        <v>46197</v>
      </c>
      <c r="D246" t="inlineStr">
        <is>
          <t>VÄSTRA GÖTALANDS LÄN</t>
        </is>
      </c>
      <c r="E246" t="inlineStr">
        <is>
          <t>VÄNERSBORG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21140-2023</t>
        </is>
      </c>
      <c r="B247" s="1" t="n">
        <v>45062</v>
      </c>
      <c r="C247" s="1" t="n">
        <v>46197</v>
      </c>
      <c r="D247" t="inlineStr">
        <is>
          <t>VÄSTRA GÖTALANDS LÄN</t>
        </is>
      </c>
      <c r="E247" t="inlineStr">
        <is>
          <t>VÄNERSBORG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6752-2023</t>
        </is>
      </c>
      <c r="B248" s="1" t="n">
        <v>44966</v>
      </c>
      <c r="C248" s="1" t="n">
        <v>46197</v>
      </c>
      <c r="D248" t="inlineStr">
        <is>
          <t>VÄSTRA GÖTALANDS LÄN</t>
        </is>
      </c>
      <c r="E248" t="inlineStr">
        <is>
          <t>VÄNERSBORG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46197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32843-2022</t>
        </is>
      </c>
      <c r="B250" s="1" t="n">
        <v>44784</v>
      </c>
      <c r="C250" s="1" t="n">
        <v>46197</v>
      </c>
      <c r="D250" t="inlineStr">
        <is>
          <t>VÄSTRA GÖTALANDS LÄN</t>
        </is>
      </c>
      <c r="E250" t="inlineStr">
        <is>
          <t>VÄNERSBORG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28190-2022</t>
        </is>
      </c>
      <c r="B251" s="1" t="n">
        <v>44746</v>
      </c>
      <c r="C251" s="1" t="n">
        <v>46197</v>
      </c>
      <c r="D251" t="inlineStr">
        <is>
          <t>VÄSTRA GÖTALANDS LÄN</t>
        </is>
      </c>
      <c r="E251" t="inlineStr">
        <is>
          <t>VÄNERSBORG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12910-2023</t>
        </is>
      </c>
      <c r="B252" s="1" t="n">
        <v>45001</v>
      </c>
      <c r="C252" s="1" t="n">
        <v>46197</v>
      </c>
      <c r="D252" t="inlineStr">
        <is>
          <t>VÄSTRA GÖTALANDS LÄN</t>
        </is>
      </c>
      <c r="E252" t="inlineStr">
        <is>
          <t>VÄNERSBORG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46197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33925-2023</t>
        </is>
      </c>
      <c r="B254" s="1" t="n">
        <v>45134</v>
      </c>
      <c r="C254" s="1" t="n">
        <v>46197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18855-2025</t>
        </is>
      </c>
      <c r="B255" s="1" t="n">
        <v>45764</v>
      </c>
      <c r="C255" s="1" t="n">
        <v>46197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15309-2022</t>
        </is>
      </c>
      <c r="B256" s="1" t="n">
        <v>44659</v>
      </c>
      <c r="C256" s="1" t="n">
        <v>46197</v>
      </c>
      <c r="D256" t="inlineStr">
        <is>
          <t>VÄSTRA GÖTALANDS LÄN</t>
        </is>
      </c>
      <c r="E256" t="inlineStr">
        <is>
          <t>VÄNERSBORG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11439-2022</t>
        </is>
      </c>
      <c r="B257" s="1" t="n">
        <v>44630</v>
      </c>
      <c r="C257" s="1" t="n">
        <v>46197</v>
      </c>
      <c r="D257" t="inlineStr">
        <is>
          <t>VÄSTRA GÖTALANDS LÄN</t>
        </is>
      </c>
      <c r="E257" t="inlineStr">
        <is>
          <t>VÄNERSBORG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33033-2024</t>
        </is>
      </c>
      <c r="B258" s="1" t="n">
        <v>45517</v>
      </c>
      <c r="C258" s="1" t="n">
        <v>46197</v>
      </c>
      <c r="D258" t="inlineStr">
        <is>
          <t>VÄSTRA GÖTALANDS LÄN</t>
        </is>
      </c>
      <c r="E258" t="inlineStr">
        <is>
          <t>VÄNERSBORG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49131-2024</t>
        </is>
      </c>
      <c r="B259" s="1" t="n">
        <v>45594</v>
      </c>
      <c r="C259" s="1" t="n">
        <v>46197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46197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48496-2024</t>
        </is>
      </c>
      <c r="B261" s="1" t="n">
        <v>45592</v>
      </c>
      <c r="C261" s="1" t="n">
        <v>46197</v>
      </c>
      <c r="D261" t="inlineStr">
        <is>
          <t>VÄSTRA GÖTALANDS LÄN</t>
        </is>
      </c>
      <c r="E261" t="inlineStr">
        <is>
          <t>VÄNERSBORG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56725-2023</t>
        </is>
      </c>
      <c r="B262" s="1" t="n">
        <v>45244</v>
      </c>
      <c r="C262" s="1" t="n">
        <v>46197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17871-2024</t>
        </is>
      </c>
      <c r="B263" s="1" t="n">
        <v>45419</v>
      </c>
      <c r="C263" s="1" t="n">
        <v>46197</v>
      </c>
      <c r="D263" t="inlineStr">
        <is>
          <t>VÄSTRA GÖTALANDS LÄN</t>
        </is>
      </c>
      <c r="E263" t="inlineStr">
        <is>
          <t>VÄNERSBORG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369-2023</t>
        </is>
      </c>
      <c r="B264" s="1" t="n">
        <v>44929</v>
      </c>
      <c r="C264" s="1" t="n">
        <v>46197</v>
      </c>
      <c r="D264" t="inlineStr">
        <is>
          <t>VÄSTRA GÖTALANDS LÄN</t>
        </is>
      </c>
      <c r="E264" t="inlineStr">
        <is>
          <t>VÄNERSBORG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519-2023</t>
        </is>
      </c>
      <c r="B265" s="1" t="n">
        <v>44930</v>
      </c>
      <c r="C265" s="1" t="n">
        <v>46197</v>
      </c>
      <c r="D265" t="inlineStr">
        <is>
          <t>VÄSTRA GÖTALANDS LÄN</t>
        </is>
      </c>
      <c r="E265" t="inlineStr">
        <is>
          <t>VÄNERSBORG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43798-2024</t>
        </is>
      </c>
      <c r="B266" s="1" t="n">
        <v>45571</v>
      </c>
      <c r="C266" s="1" t="n">
        <v>46197</v>
      </c>
      <c r="D266" t="inlineStr">
        <is>
          <t>VÄSTRA GÖTALANDS LÄN</t>
        </is>
      </c>
      <c r="E266" t="inlineStr">
        <is>
          <t>VÄNERSBORG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23700-2023</t>
        </is>
      </c>
      <c r="B267" s="1" t="n">
        <v>45077</v>
      </c>
      <c r="C267" s="1" t="n">
        <v>46197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17077-2023</t>
        </is>
      </c>
      <c r="B268" s="1" t="n">
        <v>45034</v>
      </c>
      <c r="C268" s="1" t="n">
        <v>46197</v>
      </c>
      <c r="D268" t="inlineStr">
        <is>
          <t>VÄSTRA GÖTALANDS LÄN</t>
        </is>
      </c>
      <c r="E268" t="inlineStr">
        <is>
          <t>VÄNERSBORG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22326-2025</t>
        </is>
      </c>
      <c r="B269" s="1" t="n">
        <v>45786</v>
      </c>
      <c r="C269" s="1" t="n">
        <v>46197</v>
      </c>
      <c r="D269" t="inlineStr">
        <is>
          <t>VÄSTRA GÖTALANDS LÄN</t>
        </is>
      </c>
      <c r="E269" t="inlineStr">
        <is>
          <t>VÄNERSBORG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23060-2025</t>
        </is>
      </c>
      <c r="B270" s="1" t="n">
        <v>45790</v>
      </c>
      <c r="C270" s="1" t="n">
        <v>46197</v>
      </c>
      <c r="D270" t="inlineStr">
        <is>
          <t>VÄSTRA GÖTALANDS LÄN</t>
        </is>
      </c>
      <c r="E270" t="inlineStr">
        <is>
          <t>VÄNERSBORG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10525-2025</t>
        </is>
      </c>
      <c r="B271" s="1" t="n">
        <v>45721</v>
      </c>
      <c r="C271" s="1" t="n">
        <v>46197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42605-2024</t>
        </is>
      </c>
      <c r="B272" s="1" t="n">
        <v>45565</v>
      </c>
      <c r="C272" s="1" t="n">
        <v>46197</v>
      </c>
      <c r="D272" t="inlineStr">
        <is>
          <t>VÄSTRA GÖTALANDS LÄN</t>
        </is>
      </c>
      <c r="E272" t="inlineStr">
        <is>
          <t>VÄNERSBORG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13666-2025</t>
        </is>
      </c>
      <c r="B273" s="1" t="n">
        <v>45736</v>
      </c>
      <c r="C273" s="1" t="n">
        <v>46197</v>
      </c>
      <c r="D273" t="inlineStr">
        <is>
          <t>VÄSTRA GÖTALANDS LÄN</t>
        </is>
      </c>
      <c r="E273" t="inlineStr">
        <is>
          <t>VÄNERSBORG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13674-2025</t>
        </is>
      </c>
      <c r="B274" s="1" t="n">
        <v>45736</v>
      </c>
      <c r="C274" s="1" t="n">
        <v>46197</v>
      </c>
      <c r="D274" t="inlineStr">
        <is>
          <t>VÄSTRA GÖTALANDS LÄN</t>
        </is>
      </c>
      <c r="E274" t="inlineStr">
        <is>
          <t>VÄNERSBORG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12760-2025</t>
        </is>
      </c>
      <c r="B275" s="1" t="n">
        <v>45733</v>
      </c>
      <c r="C275" s="1" t="n">
        <v>46197</v>
      </c>
      <c r="D275" t="inlineStr">
        <is>
          <t>VÄSTRA GÖTALANDS LÄN</t>
        </is>
      </c>
      <c r="E275" t="inlineStr">
        <is>
          <t>VÄNERSBORG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13196-2025</t>
        </is>
      </c>
      <c r="B276" s="1" t="n">
        <v>45735</v>
      </c>
      <c r="C276" s="1" t="n">
        <v>46197</v>
      </c>
      <c r="D276" t="inlineStr">
        <is>
          <t>VÄSTRA GÖTALANDS LÄN</t>
        </is>
      </c>
      <c r="E276" t="inlineStr">
        <is>
          <t>VÄNERSBORG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11883-2025</t>
        </is>
      </c>
      <c r="B277" s="1" t="n">
        <v>45728</v>
      </c>
      <c r="C277" s="1" t="n">
        <v>46197</v>
      </c>
      <c r="D277" t="inlineStr">
        <is>
          <t>VÄSTRA GÖTALANDS LÄN</t>
        </is>
      </c>
      <c r="E277" t="inlineStr">
        <is>
          <t>VÄNERSBORG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24549-2025</t>
        </is>
      </c>
      <c r="B278" s="1" t="n">
        <v>45798</v>
      </c>
      <c r="C278" s="1" t="n">
        <v>46197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24567-2025</t>
        </is>
      </c>
      <c r="B279" s="1" t="n">
        <v>45798</v>
      </c>
      <c r="C279" s="1" t="n">
        <v>46197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24560-2025</t>
        </is>
      </c>
      <c r="B280" s="1" t="n">
        <v>45798</v>
      </c>
      <c r="C280" s="1" t="n">
        <v>46197</v>
      </c>
      <c r="D280" t="inlineStr">
        <is>
          <t>VÄSTRA GÖTALANDS LÄN</t>
        </is>
      </c>
      <c r="E280" t="inlineStr">
        <is>
          <t>VÄNERSBORG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24894-2025</t>
        </is>
      </c>
      <c r="B281" s="1" t="n">
        <v>45799</v>
      </c>
      <c r="C281" s="1" t="n">
        <v>46197</v>
      </c>
      <c r="D281" t="inlineStr">
        <is>
          <t>VÄSTRA GÖTALANDS LÄN</t>
        </is>
      </c>
      <c r="E281" t="inlineStr">
        <is>
          <t>VÄNERSBORG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2026-06-24T00:45:49Z</dcterms:created>
  <dcterms:modified xmlns:dcterms="http://purl.org/dc/terms/" xmlns:xsi="http://www.w3.org/2001/XMLSchema-instance" xsi:type="dcterms:W3CDTF">2026-06-24T00:45:50Z</dcterms:modified>
</cp:coreProperties>
</file>